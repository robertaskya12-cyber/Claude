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nkings" sheetId="1" state="visible" r:id="rId3"/>
    <sheet name="Weights" sheetId="2" state="visible" r:id="rId4"/>
    <sheet name="Excluded" sheetId="3" state="visible" r:id="rId5"/>
    <sheet name="Methodology" sheetId="4" state="visible" r:id="rId6"/>
    <sheet name="Networking and paths" sheetId="5" state="visible" r:id="rId7"/>
  </sheets>
  <definedNames>
    <definedName function="false" hidden="true" localSheetId="2" name="_xlnm._FilterDatabase" vbProcedure="false">Excluded!$A$1:$E$52</definedName>
    <definedName function="false" hidden="true" localSheetId="0" name="_xlnm._FilterDatabase" vbProcedure="false">Rankings!$A$1:$U$85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Formula: RANK on the weighted total (1 = best). Rows are pre-sorted by the default weighting.</t>
        </r>
      </text>
    </comment>
    <comment ref="I1" authorId="0">
      <text>
        <r>
          <rPr>
            <sz val="10"/>
            <rFont val="Arial"/>
            <family val="2"/>
          </rPr>
          <t xml:space="preserve">Blank = no entity-level Sodra figure found. Averages cover all insured staff, including partners and executives.</t>
        </r>
      </text>
    </comment>
    <comment ref="K1" authorId="0">
      <text>
        <r>
          <rPr>
            <sz val="10"/>
            <rFont val="Arial"/>
            <family val="2"/>
          </rPr>
          <t xml:space="preserve">Pay: realistic early-career pay from advertised ranges, then entity averages discounted for partner or executive skew. See Methodology.</t>
        </r>
      </text>
    </comment>
    <comment ref="L1" authorId="0">
      <text>
        <r>
          <rPr>
            <sz val="10"/>
            <rFont val="Arial"/>
            <family val="2"/>
          </rPr>
          <t xml:space="preserve">Prestige: global brand, investment-side seniority of the Vilnius work, and selectivity. See Methodology.</t>
        </r>
      </text>
    </comment>
    <comment ref="M1" authorId="0">
      <text>
        <r>
          <rPr>
            <sz val="10"/>
            <rFont val="Arial"/>
            <family val="2"/>
          </rPr>
          <t xml:space="preserve">Fit: relevance to an MSc International Finance profile; pure software or signal-processing quant roles score lower.</t>
        </r>
      </text>
    </comment>
    <comment ref="N1" authorId="0">
      <text>
        <r>
          <rPr>
            <sz val="10"/>
            <rFont val="Arial"/>
            <family val="2"/>
          </rPr>
          <t xml:space="preserve">Accessibility: number of seats and whether fresh graduates are hired (programmes, junior ads).</t>
        </r>
      </text>
    </comment>
    <comment ref="O1" authorId="0">
      <text>
        <r>
          <rPr>
            <sz val="10"/>
            <rFont val="Arial"/>
            <family val="2"/>
          </rPr>
          <t xml:space="preserve">Learning and exit: skill build and the doors the role opens (PE, IB, HF, abroad).</t>
        </r>
      </text>
    </comment>
    <comment ref="P1" authorId="0">
      <text>
        <r>
          <rPr>
            <sz val="10"/>
            <rFont val="Arial"/>
            <family val="2"/>
          </rPr>
          <t xml:space="preserve">Formula: scores times weights on the Weights sheet, divided by the sum of weights (keeps a 1 to 10 scale), rounded to 2 decimals so ties rank equally.</t>
        </r>
      </text>
    </comment>
    <comment ref="Q1" authorId="0">
      <text>
        <r>
          <rPr>
            <sz val="10"/>
            <rFont val="Arial"/>
            <family val="2"/>
          </rPr>
          <t xml:space="preserve">Formula: Tier thresholds are editable on the Weights sheet (B11, B12).</t>
        </r>
      </text>
    </comment>
  </commentList>
</comments>
</file>

<file path=xl/sharedStrings.xml><?xml version="1.0" encoding="utf-8"?>
<sst xmlns="http://schemas.openxmlformats.org/spreadsheetml/2006/main" count="1475" uniqueCount="1050">
  <si>
    <t xml:space="preserve">Rank</t>
  </si>
  <si>
    <t xml:space="preserve">Company</t>
  </si>
  <si>
    <t xml:space="preserve">Category</t>
  </si>
  <si>
    <t xml:space="preserve">City</t>
  </si>
  <si>
    <t xml:space="preserve">LT entity and company code</t>
  </si>
  <si>
    <t xml:space="preserve">Lithuanian team size</t>
  </si>
  <si>
    <t xml:space="preserve">Typical entry roles</t>
  </si>
  <si>
    <t xml:space="preserve">Advertised entry/junior pay (EUR gross/month, text range)</t>
  </si>
  <si>
    <t xml:space="preserve">Entity average pay (EUR gross/month)</t>
  </si>
  <si>
    <t xml:space="preserve">Entity average pay date and basis</t>
  </si>
  <si>
    <t xml:space="preserve">Pay score (1 to 10)</t>
  </si>
  <si>
    <t xml:space="preserve">Prestige score (1 to 10)</t>
  </si>
  <si>
    <t xml:space="preserve">Fit for HEC MIF profile (1 to 10)</t>
  </si>
  <si>
    <t xml:space="preserve">Accessibility / hiring likelihood (1 to 10)</t>
  </si>
  <si>
    <t xml:space="preserve">Learning and exit opportunities (1 to 10)</t>
  </si>
  <si>
    <t xml:space="preserve">Weighted total</t>
  </si>
  <si>
    <t xml:space="preserve">Tier</t>
  </si>
  <si>
    <t xml:space="preserve">Hiring channel / how to get in</t>
  </si>
  <si>
    <t xml:space="preserve">Key notes and red flags</t>
  </si>
  <si>
    <t xml:space="preserve">Data confidence</t>
  </si>
  <si>
    <t xml:space="preserve">Main source URL</t>
  </si>
  <si>
    <t xml:space="preserve">Covalis Capital (Vilnius equity research team)</t>
  </si>
  <si>
    <t xml:space="preserve">Hedge fund (equity long/short)</t>
  </si>
  <si>
    <t xml:space="preserve">Vilnius (HQ London)</t>
  </si>
  <si>
    <t xml:space="preserve">No Lithuanian UAB found; Covalis Capital LLP (UK, OC375146); Cayman funds</t>
  </si>
  <si>
    <t xml:space="preserve">At least 2 equity analysts in Vilnius; about 31 staff globally on LinkedIn</t>
  </si>
  <si>
    <t xml:space="preserve">Equity Research Analyst, Equity Analyst (infrastructure, utilities, renewables, industrials, materials)</t>
  </si>
  <si>
    <t xml:space="preserve">Not advertised (no public job ads found)</t>
  </si>
  <si>
    <t xml:space="preserve">n/a (no Lithuanian entity, so no Sodra data)</t>
  </si>
  <si>
    <t xml:space="preserve">Networking and direct approach: Vilnius analysts on LinkedIn (Rokas Jusys, Vaidas Ališauskas), referral, approach via London HQ; Lithuanian-born founder/CIO Zach Mecelis</t>
  </si>
  <si>
    <t xml:space="preserve">Only foreign hedge fund confirmed with investment staff in Vilnius; covers about 300 companies in 30 countries. Pay score is inferred (no data). No evidence of fresh-grad hiring or internships. Activist profile (failed Enel slate, 2023).</t>
  </si>
  <si>
    <t xml:space="preserve">Medium</t>
  </si>
  <si>
    <t xml:space="preserve">https://www.linkedin.com/company/covalis-capital-llp</t>
  </si>
  <si>
    <t xml:space="preserve">INVL Asset Management: Private Equity (INVL PE Fund II, European Banking Opportunities Fund)</t>
  </si>
  <si>
    <t xml:space="preserve">Private equity</t>
  </si>
  <si>
    <t xml:space="preserve">Vilnius</t>
  </si>
  <si>
    <t xml:space="preserve">INVL Asset Management, UAB, 126263073</t>
  </si>
  <si>
    <t xml:space="preserve">85 to 95 at entity (about 150 group); PE team has investment managers, an associate and junior analysts</t>
  </si>
  <si>
    <t xml:space="preserve">Junior Analyst (PE), Investment Valuation Analyst, Fund Finance Analyst</t>
  </si>
  <si>
    <t xml:space="preserve">Investment Valuation Analyst 2,900 to 3,500 plus bonus (2+ years); Fund Finance Manager Assistant/Analyst 1,300 to 1,700 base; junior investment accounting 1,500 to 2,000 plus bonus</t>
  </si>
  <si>
    <t xml:space="preserve">2025 (tax.lt); 5,143 to 5,636 on other aggregators; entity-wide incl. back office</t>
  </si>
  <si>
    <t xml:space="preserve">INVL careers page, cvbankas, LinkedIn; valuation and fund finance roles are side doors into the deal team</t>
  </si>
  <si>
    <t xml:space="preserve">Largest Vilnius PE employer: Fund II closed at a record EUR 410m; new EUR 200m CEE bank fund approved 8 Oct 2026 (first close targeted end-2026), likely adding junior seats. Junior pay about 2,000 to 3,500, well below the entity average.</t>
  </si>
  <si>
    <t xml:space="preserve">High</t>
  </si>
  <si>
    <t xml:space="preserve">https://invl.com/en/investments/invl-private-equity-fund-ii/</t>
  </si>
  <si>
    <t xml:space="preserve">BaltCap (Vilnius office)</t>
  </si>
  <si>
    <t xml:space="preserve">Private equity and infrastructure</t>
  </si>
  <si>
    <t xml:space="preserve">Vilnius (HQ Tallinn)</t>
  </si>
  <si>
    <t xml:space="preserve">BaltCap UAB, 111764858 (GP vehicles e.g. BaltCap Investments GP2 UAB, 302496797)</t>
  </si>
  <si>
    <t xml:space="preserve">8 insured at UAB; 35+ investment professionals pan-Baltic</t>
  </si>
  <si>
    <t xml:space="preserve">Investment Associate, Analyst (buyout, growth, infrastructure)</t>
  </si>
  <si>
    <t xml:space="preserve">Not advertised</t>
  </si>
  <si>
    <t xml:space="preserve">2026 YTD (Scoris); 5,001 (okredo); 8 staff incl. partners</t>
  </si>
  <si>
    <t xml:space="preserve">Direct approach to Vilnius directors (Marius Miškinis, Robertas Petrauskas); LT VCA events; associates usually hired after 1 to 2 years in Big 4 TS or IB</t>
  </si>
  <si>
    <t xml:space="preserve">Pan-Baltic buyout leader (Fund III EUR 177m; Infrastructure Fund II EUR 200m; Growth Fund). Red flag: EPPO investigation of a former Lithuanian infrastructure partner (alleged misappropriation over EUR 42m); check the case status before applying.</t>
  </si>
  <si>
    <t xml:space="preserve">https://www.baltcap.com/team/</t>
  </si>
  <si>
    <t xml:space="preserve">Livonia Partners (Vilnius office)</t>
  </si>
  <si>
    <t xml:space="preserve">Private equity (buyout)</t>
  </si>
  <si>
    <t xml:space="preserve">Vilnius (HQ Riga or Tallinn; sources conflict)</t>
  </si>
  <si>
    <t xml:space="preserve">No Lithuanian UAB code found</t>
  </si>
  <si>
    <t xml:space="preserve">Small Vilnius team around partner Mindaugas Utkevičius (headcount unknown)</t>
  </si>
  <si>
    <t xml:space="preserve">Investment Analyst, Associate</t>
  </si>
  <si>
    <t xml:space="preserve">n/a</t>
  </si>
  <si>
    <t xml:space="preserve">Direct approach to the Vilnius partner; LT VCA; timing around the Fund III first close</t>
  </si>
  <si>
    <t xml:space="preserve">Fund II EUR 157m; Fund III being raised (EBRD up to EUR 30m approved May 2026; total project cost EUR 225m), its largest yet. Pay score inferred from BaltCap.</t>
  </si>
  <si>
    <t xml:space="preserve">https://www.ebrd.com/home/work-with-us/projects/psd/56209.html</t>
  </si>
  <si>
    <t xml:space="preserve">Ignitis Group (Energy Trading: power, gas and LNG)</t>
  </si>
  <si>
    <t xml:space="preserve">Energy trading</t>
  </si>
  <si>
    <t xml:space="preserve">AB Ignitis grupė and subsidiaries (codes unverified; notes cite 301844044 and 303383884 from memory)</t>
  </si>
  <si>
    <t xml:space="preserve">Trading headcount unknown (group about 4,851)</t>
  </si>
  <si>
    <t xml:space="preserve">Quantitative Trading Analyst, Market Analyst (Power Trading), Hedge Power Analyst, Power Trader-Analyst (evening shift), Senior Quantitative Researcher</t>
  </si>
  <si>
    <t xml:space="preserve">Quant Trading Analyst 3,267 to 4,900; Senior Power Trading Analyst 3,156 to 4,735; Power Trader-Analyst 3,124 to 4,686; Market Analyst 3,430 to 5,150; Senior Quant Researcher 3,430 to 5,150 plus variable</t>
  </si>
  <si>
    <t xml:space="preserve">Jul 2026 group median (press), not trading specific</t>
  </si>
  <si>
    <t xml:space="preserve">Ignitis careers site, cvbankas, cvonline, MeetFrank, Built In; Young Talents internships (not trading specific)</t>
  </si>
  <si>
    <t xml:space="preserve">Only utility with an evidenced, actively hiring trading desk in Lithuania. Long-term LNG contract (Sep 2026) and Chief Trading Officer posting suggest growth. Some roles are shift-based; fresh-grad eligibility per role not confirmed. Regionally capped versus Nordic desks.</t>
  </si>
  <si>
    <t xml:space="preserve">https://www.cvbankas.lt/market-analyst-power-trading-vilniuje/1-14112520</t>
  </si>
  <si>
    <t xml:space="preserve">KPMG Baltics (Deal Advisory)</t>
  </si>
  <si>
    <t xml:space="preserve">Big 4 transaction services / M&amp;A</t>
  </si>
  <si>
    <t xml:space="preserve">KPMG Baltics, UAB, 111494971</t>
  </si>
  <si>
    <t xml:space="preserve">170 to 286 insured (company-wide)</t>
  </si>
  <si>
    <t xml:space="preserve">Intern, Senior Analyst in Deal Advisory</t>
  </si>
  <si>
    <t xml:space="preserve">Interns 1,153 to 1,245; Senior Analyst Deal Advisory 1,900 to 2,500; Senior 2,500 to 3,500</t>
  </si>
  <si>
    <t xml:space="preserve">Apr 2026 (info.lt); 3,711 for 2026 (pinokis); company-wide</t>
  </si>
  <si>
    <t xml:space="preserve">KPMG internships, cvbankas</t>
  </si>
  <si>
    <t xml:space="preserve">Mergermarket Baltics Financial Adviser of the Year 2023; publishes the quarterly Baltic M&amp;A/PE/VC overview.</t>
  </si>
  <si>
    <t xml:space="preserve">https://www.cvbankas.lt/senior-in-deal-advisory-team-vilniuje/1-11236906</t>
  </si>
  <si>
    <t xml:space="preserve">PwC Lithuania (Deals)</t>
  </si>
  <si>
    <t xml:space="preserve">PricewaterhouseCoopers UAB (code not confirmed)</t>
  </si>
  <si>
    <t xml:space="preserve">Not found</t>
  </si>
  <si>
    <t xml:space="preserve">Deals Consultant, Senior Consultant in Deals</t>
  </si>
  <si>
    <t xml:space="preserve">Senior Consultant in Deals 2,500 to 4,000 (entry likely lower)</t>
  </si>
  <si>
    <t xml:space="preserve">Big 4 internships and trainee intakes, cvbankas, LinkedIn</t>
  </si>
  <si>
    <t xml:space="preserve">#1 Baltic M&amp;A adviser by volume in 2024 (8 deals). Structured training; classic exit to PE and corporate development.</t>
  </si>
  <si>
    <t xml:space="preserve">https://www.cvbankas.lt/senior-consultant-in-deals-vilniuje/1-11489670</t>
  </si>
  <si>
    <t xml:space="preserve">VNT Technologies (VNTrading)</t>
  </si>
  <si>
    <t xml:space="preserve">Quant research / algorithmic trading</t>
  </si>
  <si>
    <t xml:space="preserve">VNT Technologies, UAB (also VNTrading, UAB), 306700560</t>
  </si>
  <si>
    <t xml:space="preserve">6 to 13</t>
  </si>
  <si>
    <t xml:space="preserve">Signal Processing Researcher (quant researcher), Python Developer</t>
  </si>
  <si>
    <t xml:space="preserve">Researcher base 5,000 to 10,000 plus year-end bonus</t>
  </si>
  <si>
    <t xml:space="preserve">May 2026 (info.lt); 5,573 as 2025 average (Scoris); 4,017 for 2026 YTD</t>
  </si>
  <si>
    <t xml:space="preserve">Own careers site; no finance experience required; hires Oxbridge, olympiad medallists and PhDs</t>
  </si>
  <si>
    <t xml:space="preserve">Highest posted quant salary range in Lithuania. Very small and young (registered Mar 2024) but profitable (2025 profit about EUR 1.6m). Fit is low for a finance-only profile: maths and signal processing first.</t>
  </si>
  <si>
    <t xml:space="preserve">https://vnttechnologies.com/quantitative-researcher</t>
  </si>
  <si>
    <t xml:space="preserve">Ignitis Group (Group Treasury, IR, Investments and M&amp;A)</t>
  </si>
  <si>
    <t xml:space="preserve">Corporate finance</t>
  </si>
  <si>
    <t xml:space="preserve">AB Ignitis grupė; Ignitis Renewables (codes not verified)</t>
  </si>
  <si>
    <t xml:space="preserve">FP&amp;A trainee, Senior Financial Analyst, Group Treasury and IR analyst; Investment Project Manager needs 5+ years</t>
  </si>
  <si>
    <t xml:space="preserve">FP&amp;A trainee 1,240 to 1,860; Senior Financial Analyst (Ignitis Renewables) 2,770 to 4,150; Chief Financial Controller 3,430 to 5,150</t>
  </si>
  <si>
    <t xml:space="preserve">Jul 2026 group median (press)</t>
  </si>
  <si>
    <t xml:space="preserve">Ignitis Young Talents programme and internships; careers site</t>
  </si>
  <si>
    <t xml:space="preserve">Highest Sodra median among state-owned firms; listed on Nasdaq Vilnius and LSE; dedicated Investments and M&amp;A function (senior hiring).</t>
  </si>
  <si>
    <t xml:space="preserve">https://ignitisgrupe.lt/en/career/young-talents</t>
  </si>
  <si>
    <t xml:space="preserve">INVL Asset Management: Renewable Energy Fund I</t>
  </si>
  <si>
    <t xml:space="preserve">Infrastructure / energy transition</t>
  </si>
  <si>
    <t xml:space="preserve">Small fund team (managing partner, partner, analyst)</t>
  </si>
  <si>
    <t xml:space="preserve">Analyst</t>
  </si>
  <si>
    <t xml:space="preserve">Not advertised; comparable recruiter ad (renewables Investment Analyst) 3,000 to 4,000 with 2+ years</t>
  </si>
  <si>
    <t xml:space="preserve">2025 entity-wide (tax.lt)</t>
  </si>
  <si>
    <t xml:space="preserve">INVL careers, LinkedIn; network with fund partners</t>
  </si>
  <si>
    <t xml:space="preserve">Solar portfolio in Romania and Poland with EBRD and Eiffel debt. Fund term to Aug 2028, so seats depend on successor vehicles.</t>
  </si>
  <si>
    <t xml:space="preserve">https://invl.com/en/investments/invl-renewable-energy-fund-i/</t>
  </si>
  <si>
    <t xml:space="preserve">Humbility</t>
  </si>
  <si>
    <t xml:space="preserve">Quant/prop trading (crypto HFT and arbitrage)</t>
  </si>
  <si>
    <t xml:space="preserve">Humbility, UAB, 305825881</t>
  </si>
  <si>
    <t xml:space="preserve">46 to 51 (Apr 2026)</t>
  </si>
  <si>
    <t xml:space="preserve">Junior Software Engineer, trading/quant developer</t>
  </si>
  <si>
    <t xml:space="preserve">Not stated; annual profit sharing on top of base</t>
  </si>
  <si>
    <t xml:space="preserve">Jan 2026 (Scoris); 9,270 as 2025 average on one site; bonus-month spike about 40,318 (Apr 2026)</t>
  </si>
  <si>
    <t xml:space="preserve">Own website, LinkedIn, MeetFrank, Tradermath; targets STEM, olympiad and Oxbridge/Imperial profiles</t>
  </si>
  <si>
    <t xml:space="preserve">First large-scale crypto trading firm in Lithuania. Tech-heavy: a finance MSc is competitive only with strong coding and statistics. Crypto market and regulatory risk. Registered as computer programming, so finance-code Sodra screens miss it.</t>
  </si>
  <si>
    <t xml:space="preserve">https://scoris.lt/imone/305825881/darbuotojai_atlyginimai</t>
  </si>
  <si>
    <t xml:space="preserve">INVL Asset Management: Bridge Finance (private debt)</t>
  </si>
  <si>
    <t xml:space="preserve">Private credit</t>
  </si>
  <si>
    <t xml:space="preserve">INVL Asset Management, UAB, 126263073 (Mundus merged in)</t>
  </si>
  <si>
    <t xml:space="preserve">Small team (not found)</t>
  </si>
  <si>
    <t xml:space="preserve">Credit/investment analyst</t>
  </si>
  <si>
    <t xml:space="preserve">INVL careers, LinkedIn; Baltic Private Debt Forum</t>
  </si>
  <si>
    <t xml:space="preserve">INVL bought out Mundus (2023) and merged it in; NAV EUR 32.5m (Jun 2024); an executive cited a EUR 100m+ private debt fund to fill a bank-lending gap.</t>
  </si>
  <si>
    <t xml:space="preserve">https://invaldainvl.com/en/group-company-press-releases/invl-group-completes-the-acquisition-of-the-mundus-private-debt-fund-management-company</t>
  </si>
  <si>
    <t xml:space="preserve">Revolut Bank (Treasury, ALM, portfolio management)</t>
  </si>
  <si>
    <t xml:space="preserve">Fintech bank</t>
  </si>
  <si>
    <t xml:space="preserve">Revolut Bank, UAB, 304580906</t>
  </si>
  <si>
    <t xml:space="preserve">108 to 128</t>
  </si>
  <si>
    <t xml:space="preserve">Treasury/ALM analyst, Portfolio Manager (EU Bank), credit risk, finance</t>
  </si>
  <si>
    <t xml:space="preserve">ALM Treasury Manager 3,600 to 4,200; Portfolio Manager EU Bank 3,800 to 4,200</t>
  </si>
  <si>
    <t xml:space="preserve">Apr 2026 (tax.lt); 5,812 Aug 2026 (1551.lt)</t>
  </si>
  <si>
    <t xml:space="preserve">Revolut careers, LinkedIn; Lithuania Head of Treasury</t>
  </si>
  <si>
    <t xml:space="preserve">ECB-licensed bank HQ in Vilnius. Senior-heavy licensed entity; operations staff sit in other entities on far lower pay (FinCrime Analyst about 20,000 to 25,000 per year).</t>
  </si>
  <si>
    <t xml:space="preserve">https://tax.lt/imones/101691-revolut-bank-uab</t>
  </si>
  <si>
    <t xml:space="preserve">SEB (Corporate Banking and Project Finance)</t>
  </si>
  <si>
    <t xml:space="preserve">Bank CIB</t>
  </si>
  <si>
    <t xml:space="preserve">SEB bankas AB (code not verified)</t>
  </si>
  <si>
    <t xml:space="preserve">Not found for CIB</t>
  </si>
  <si>
    <t xml:space="preserve">Client Analyst (corporate credit), Advisory Manager/Client Associate in Project Finance, Loan Officer (Structured Loans)</t>
  </si>
  <si>
    <t xml:space="preserve">Loan Officer Structured Loans 1,950 to 2,800; Liquidity Services specialist 1,950 to 2,800</t>
  </si>
  <si>
    <t xml:space="preserve">2026 bank-wide (pinokis)</t>
  </si>
  <si>
    <t xml:space="preserve">SEB careers (Lever), cvbankas</t>
  </si>
  <si>
    <t xml:space="preserve">Most IB-like bank seats in Vilnius: leveraged finance, fund financing, PPP, infrastructure, renewables. ECM and M&amp;A execution sits in Stockholm.</t>
  </si>
  <si>
    <t xml:space="preserve">https://jobs.eu.lever.co/seb/e5529a61-aa06-466d-baaf-da9eced457b4</t>
  </si>
  <si>
    <t xml:space="preserve">Vinted (Treasury, FP&amp;A)</t>
  </si>
  <si>
    <t xml:space="preserve">Corporate finance (tech)</t>
  </si>
  <si>
    <t xml:space="preserve">Vilnius / Kaunas</t>
  </si>
  <si>
    <t xml:space="preserve">Vinted, UAB, 302767152 (also Vinted Pay, Vinted Go)</t>
  </si>
  <si>
    <t xml:space="preserve">1,705 to 1,816</t>
  </si>
  <si>
    <t xml:space="preserve">Senior Treasury Analyst, Financial Planning Analyst, Finance Control Analyst, Pricing</t>
  </si>
  <si>
    <t xml:space="preserve">Senior Treasury Analyst 3,233 to 4,383; Financial Planning Analyst 3,433 to 4,650</t>
  </si>
  <si>
    <t xml:space="preserve">Aug 2026 (topimones); 5,075 Jul 2026 (info.lt)</t>
  </si>
  <si>
    <t xml:space="preserve">careers.vinted.com</t>
  </si>
  <si>
    <t xml:space="preserve">Average includes many engineers. Treasury role covers capital and short-term liquidity management.</t>
  </si>
  <si>
    <t xml:space="preserve">https://careers.vinted.com/jobs/j/4848497101</t>
  </si>
  <si>
    <t xml:space="preserve">Bank of Lithuania (Lietuvos bankas)</t>
  </si>
  <si>
    <t xml:space="preserve">Central bank / regulator</t>
  </si>
  <si>
    <t xml:space="preserve">Lietuvos bankas</t>
  </si>
  <si>
    <t xml:space="preserve">About 677 (end-2024)</t>
  </si>
  <si>
    <t xml:space="preserve">Intern, specialist (market operations, financial stability, supervision)</t>
  </si>
  <si>
    <t xml:space="preserve">Internship 1,160 (2026); Senior Business Analyst (investment and risk) 3,496 to 5,244</t>
  </si>
  <si>
    <t xml:space="preserve">n/a (position-based disclosure: division heads about 6,536, Q2 2025)</t>
  </si>
  <si>
    <t xml:space="preserve">karjera.lb.lt or karjera@lb.lt; paid 2 to 3 month internships open to master's students; summer internships advertised in spring</t>
  </si>
  <si>
    <t xml:space="preserve">High-signal, accessible public employer; specialist pay bands low (lowest grade reportedly about 1,627, to be checked).</t>
  </si>
  <si>
    <t xml:space="preserve">https://karjera.lb.lt/pages/praktika-ir-stazuotes</t>
  </si>
  <si>
    <t xml:space="preserve">Swedbank (Group Treasury, risk quant, trainee programme)</t>
  </si>
  <si>
    <t xml:space="preserve">Bank treasury and risk</t>
  </si>
  <si>
    <t xml:space="preserve">Vilnius (pan-Baltic roles)</t>
  </si>
  <si>
    <t xml:space="preserve">Swedbank, AB (code not verified)</t>
  </si>
  <si>
    <t xml:space="preserve">Analyst Development Trainee, Financial Risk Quant Analyst, junior Private Financial Advice specialist</t>
  </si>
  <si>
    <t xml:space="preserve">Not found (Glassdoor Vilnius Analyst about 25,000 to 40,000 per year)</t>
  </si>
  <si>
    <t xml:space="preserve">Swedbank Analyst Development Trainee Programme (about 10 months of rotations; about 200 trainees per year group-wide)</t>
  </si>
  <si>
    <t xml:space="preserve">Programme is group and Stockholm oriented; one alumnus moved into Group Treasury. Risk quant roles ask for VaR/ES experience.</t>
  </si>
  <si>
    <t xml:space="preserve">https://www.swedbank.com/work-with-us/students-and-graduates/swedbank-analyst-development-trainee-program.html</t>
  </si>
  <si>
    <t xml:space="preserve">Oaklins Baltics (Alpha Advisors UAB)</t>
  </si>
  <si>
    <t xml:space="preserve">M&amp;A advisory boutique</t>
  </si>
  <si>
    <t xml:space="preserve">Alpha Advisors UAB (inferred; code not confirmed)</t>
  </si>
  <si>
    <t xml:space="preserve">Small Vilnius team; 20+ M&amp;A professionals across the Baltics</t>
  </si>
  <si>
    <t xml:space="preserve">Networking with partners (Mindaugas Matulaitis, Marius Binkevičius); internships; hired an analyst in 2025</t>
  </si>
  <si>
    <t xml:space="preserve">Most consistent Baltic league-table leader: Mergermarket Baltic adviser of the year 2020 and 2022; 2025 sale of WhiteBit. Analyst intake about 0 to 2 per year.</t>
  </si>
  <si>
    <t xml:space="preserve">https://www.oaklins.com/baltics/en/team/</t>
  </si>
  <si>
    <t xml:space="preserve">Lords LB Asset Management</t>
  </si>
  <si>
    <t xml:space="preserve">Real estate, PE and VC fund manager</t>
  </si>
  <si>
    <t xml:space="preserve">Lords LB Asset Management, UAB, 301849625</t>
  </si>
  <si>
    <t xml:space="preserve">36</t>
  </si>
  <si>
    <t xml:space="preserve">Fund or investment analyst, asset management analyst</t>
  </si>
  <si>
    <t xml:space="preserve">Aug 2026 (info.lt); 6,068 (okredo, to 2025); 7,229 for 2024 (Scoris)</t>
  </si>
  <si>
    <t xml:space="preserve">Direct application and LinkedIn (hiring channel not documented)</t>
  </si>
  <si>
    <t xml:space="preserve">Largest Lithuanian real estate fund manager (about EUR 1.42bn to 1.48bn); first retail fund opened Sep 2026. Hidden high payer, but averages include partners. PE Fund I is opportunistic Belarus commercial real estate (reputational flag).</t>
  </si>
  <si>
    <t xml:space="preserve">https://lordslb.lt/en/funds/</t>
  </si>
  <si>
    <t xml:space="preserve">Swedbank (Corporate Finance, DCM and corporate banking)</t>
  </si>
  <si>
    <t xml:space="preserve">Corporate finance or corporate banking analyst</t>
  </si>
  <si>
    <t xml:space="preserve">jobs.swedbank.com; Analyst Development Trainee Programme</t>
  </si>
  <si>
    <t xml:space="preserve">#1 Lithuanian bank by loans; Swedbank Corporate Finance lists Vilnius among its offices. No current team list or pay found.</t>
  </si>
  <si>
    <t xml:space="preserve">https://privateequityinfo.com/directory/investment-bank/swedbank-corporate-finance</t>
  </si>
  <si>
    <t xml:space="preserve">EIB Group (Baltic regional office)</t>
  </si>
  <si>
    <t xml:space="preserve">International financial institution</t>
  </si>
  <si>
    <t xml:space="preserve">EIB Group office, Liejyklos g. 8</t>
  </si>
  <si>
    <t xml:space="preserve">Small liaison office</t>
  </si>
  <si>
    <t xml:space="preserve">Rare local roles; investment officers mainly in Luxembourg</t>
  </si>
  <si>
    <t xml:space="preserve">EIB careers (Luxembourg); use the Vilnius office for networking</t>
  </si>
  <si>
    <t xml:space="preserve">Opened 2020; mainly a liaison and regional office. Pay score not evidenced in the notes.</t>
  </si>
  <si>
    <t xml:space="preserve">Low</t>
  </si>
  <si>
    <t xml:space="preserve">https://www.eib.org/en/contacts/office/lithuania</t>
  </si>
  <si>
    <t xml:space="preserve">Invalda INVL (listed holding)</t>
  </si>
  <si>
    <t xml:space="preserve">Investment holding</t>
  </si>
  <si>
    <t xml:space="preserve">AB Invalda INVL, 121304349</t>
  </si>
  <si>
    <t xml:space="preserve">6</t>
  </si>
  <si>
    <t xml:space="preserve">Investment analyst (rare)</t>
  </si>
  <si>
    <t xml:space="preserve">okredo (period not stated); 6 staff incl. executives</t>
  </si>
  <si>
    <t xml:space="preserve">Networking via INVL group</t>
  </si>
  <si>
    <t xml:space="preserve">Holds about 19.9% of Artea and over 14% of maib with an INVL fund. Tiny team; average is executive-heavy.</t>
  </si>
  <si>
    <t xml:space="preserve">https://okredo.com/lt-lt/imone/akcine-bendrove-invalda-invl-121304349</t>
  </si>
  <si>
    <t xml:space="preserve">Nter Asset Management (Nter Private Debt Fund)</t>
  </si>
  <si>
    <t xml:space="preserve">Nter Asset Management, UAB, 111707985 (probably formerly Orion Asset Management)</t>
  </si>
  <si>
    <t xml:space="preserve">23 to 25</t>
  </si>
  <si>
    <t xml:space="preserve">Investment Associate, analyst</t>
  </si>
  <si>
    <t xml:space="preserve">okredo (2025 to Jan 2026); 4,553 Sep 2025 (tax.lt); 3,079 in 2023 annual report</t>
  </si>
  <si>
    <t xml:space="preserve">Direct application, LinkedIn</t>
  </si>
  <si>
    <t xml:space="preserve">Self-described largest private debt fund in Lithuania (about EUR 100m invested since 2017); also Nter PE Fund I. Named Investment Associate confirms junior seats.</t>
  </si>
  <si>
    <t xml:space="preserve">https://www.nteram.lt/en/leading-baltic-private-debt-fund</t>
  </si>
  <si>
    <t xml:space="preserve">Contrarian Ventures</t>
  </si>
  <si>
    <t xml:space="preserve">Venture capital (climate tech)</t>
  </si>
  <si>
    <t xml:space="preserve">UAB Contrarian Ventures, 304584559</t>
  </si>
  <si>
    <t xml:space="preserve">About 10</t>
  </si>
  <si>
    <t xml:space="preserve">Analyst, Associate</t>
  </si>
  <si>
    <t xml:space="preserve">okredo (period not stated); 5,380 for 2024 (Scoris)</t>
  </si>
  <si>
    <t xml:space="preserve">LinkedIn, firm site; networking</t>
  </si>
  <si>
    <t xml:space="preserve">Pan-European climate-tech seed and Series A investor; Fund II about EUR 100m with EIF anchoring EUR 25m; also manages the Ignitis Smart Energy Fund.</t>
  </si>
  <si>
    <t xml:space="preserve">https://okredo.com/lt-lt/imone/uab-contrarian-ventures-304584559</t>
  </si>
  <si>
    <t xml:space="preserve">Nasdaq Vilnius Services</t>
  </si>
  <si>
    <t xml:space="preserve">Market infrastructure (exchange, clearing)</t>
  </si>
  <si>
    <t xml:space="preserve">Nasdaq Vilnius Services, UAB, 303332886</t>
  </si>
  <si>
    <t xml:space="preserve">551 to 598</t>
  </si>
  <si>
    <t xml:space="preserve">Issuer Surveillance Analyst, Quantitative Risk Analyst (Nasdaq Clearing), Financial Risk Management Analyst</t>
  </si>
  <si>
    <t xml:space="preserve">Not retrievable</t>
  </si>
  <si>
    <t xml:space="preserve">Sep 2025 (tax.lt); 4,119 Jan to Oct 2025; 4,454 undated</t>
  </si>
  <si>
    <t xml:space="preserve">Nasdaq careers, jobsinforex, Work in Lithuania</t>
  </si>
  <si>
    <t xml:space="preserve">Clearing risk quant and Stockholm issuer surveillance are front-office adjacent; many tech and cyber roles too. Glassdoor 4.5/5.</t>
  </si>
  <si>
    <t xml:space="preserve">https://tax.lt/imones/97526-nasdaq-vilnius-services-uab</t>
  </si>
  <si>
    <t xml:space="preserve">Deloitte Lietuva (Financial Advisory)</t>
  </si>
  <si>
    <t xml:space="preserve">Big 4 transaction services</t>
  </si>
  <si>
    <t xml:space="preserve">Deloitte Lietuva UAB (code not confirmed)</t>
  </si>
  <si>
    <t xml:space="preserve">Senior Associate Financial Advisory; Audit Analyst as feeder</t>
  </si>
  <si>
    <t xml:space="preserve">Senior Associate FA 2,000 to 2,900 (2022); Audit Analyst 1,750</t>
  </si>
  <si>
    <t xml:space="preserve">Deloitte careers, cvonline</t>
  </si>
  <si>
    <t xml:space="preserve">Current FA ad shows no salary.</t>
  </si>
  <si>
    <t xml:space="preserve">https://cvonline.lt/en/vacancy/911350/deloitte-lietuva-uab/senior-associate-at-financial-advisory</t>
  </si>
  <si>
    <t xml:space="preserve">EY Baltic (Strategy and Transactions)</t>
  </si>
  <si>
    <t xml:space="preserve">Ernst &amp; Young Baltic UAB (code not confirmed)</t>
  </si>
  <si>
    <t xml:space="preserve">Junior Strategy and Transactions Consultant</t>
  </si>
  <si>
    <t xml:space="preserve">Junior S&amp;T Consultant from 1,400 (undated, likely older)</t>
  </si>
  <si>
    <t xml:space="preserve">EY careers, cvonline</t>
  </si>
  <si>
    <t xml:space="preserve">Also advertises S&amp;T Manager roles in Vilnius.</t>
  </si>
  <si>
    <t xml:space="preserve">https://www.cvonline.lt/lt/vacancy/888481/ey-ernst-and-young-baltic-uab/junior-strategy-and-transactions-consultant</t>
  </si>
  <si>
    <t xml:space="preserve">Practica Capital</t>
  </si>
  <si>
    <t xml:space="preserve">Venture capital (seed)</t>
  </si>
  <si>
    <t xml:space="preserve">Practica Capital Management, UAB, 304875397 (older Practica Capital UAB, 302816037)</t>
  </si>
  <si>
    <t xml:space="preserve">Under 10</t>
  </si>
  <si>
    <t xml:space="preserve">VC Analyst</t>
  </si>
  <si>
    <t xml:space="preserve">Not stated (VC Analyst ad about 2 years ago)</t>
  </si>
  <si>
    <t xml:space="preserve">Aug 2026 (1551.lt), volatile: about 4,277 to 7,955; 11,968 in Dec 2023</t>
  </si>
  <si>
    <t xml:space="preserve">Applications to info@practica.vc; LinkedIn</t>
  </si>
  <si>
    <t xml:space="preserve">Largest Baltic seed fund (Fund III EUR 80m hard cap, EIF-backed; over EUR 130m AUM). Spiky averages reflect partner or carry payouts. Analyst role may relocate to Tallinn.</t>
  </si>
  <si>
    <t xml:space="preserve">https://practica.vc/en/news/practica-capital-closes-eur80-million-fund-committed-to-early-stage-investments-in-the-baltics</t>
  </si>
  <si>
    <t xml:space="preserve">Danske Bank Lithuania (model validation, risk; FuturePros)</t>
  </si>
  <si>
    <t xml:space="preserve">Global bank hub</t>
  </si>
  <si>
    <t xml:space="preserve">Danske Bank A/S Lietuvos filialas, 301694694</t>
  </si>
  <si>
    <t xml:space="preserve">4,387 insured (Aug 2026)</t>
  </si>
  <si>
    <t xml:space="preserve">FuturePros trainee, Model Validation Quant, risk analyst</t>
  </si>
  <si>
    <t xml:space="preserve">Aug 2026 (4w.lt); 4,248 Jun 2026 (info.lt)</t>
  </si>
  <si>
    <t xml:space="preserve">FuturePros (paid one-year programme; autumn round 1 to 13 Sep; must study or reside in Lithuania; 80% stay)</t>
  </si>
  <si>
    <t xml:space="preserve">Danske's second-biggest site, mostly operations, IT and risk. High-value work is credit risk model validation shared with Copenhagen. Criminal record certificate required for some roles from Jun 2026.</t>
  </si>
  <si>
    <t xml:space="preserve">https://danskebank.lt/en/career/future-pros</t>
  </si>
  <si>
    <t xml:space="preserve">Swedbank investicijų valdymas</t>
  </si>
  <si>
    <t xml:space="preserve">Asset and pension fund manager</t>
  </si>
  <si>
    <t xml:space="preserve">Swedbank investicijų valdymas, UAB, 124815377</t>
  </si>
  <si>
    <t xml:space="preserve">14</t>
  </si>
  <si>
    <t xml:space="preserve">Junior analyst, risk or compliance</t>
  </si>
  <si>
    <t xml:space="preserve">Jan 2026 (info.lt); 3,964 (okredo)</t>
  </si>
  <si>
    <t xml:space="preserve">jobs.swedbank.com</t>
  </si>
  <si>
    <t xml:space="preserve">Largest second-pillar manager by members. Much investing may be done at group level (unverified). Second-pillar opt-out window 2026 to 2027 may slow hiring.</t>
  </si>
  <si>
    <t xml:space="preserve">https://www.info.lt/imones/Swedbank-investicij%C5%B3-valdymas-UAB/2106256</t>
  </si>
  <si>
    <t xml:space="preserve">Capitalica Asset Management</t>
  </si>
  <si>
    <t xml:space="preserve">Real estate fund manager</t>
  </si>
  <si>
    <t xml:space="preserve">Capitalica Asset Management, UAB, 304234719</t>
  </si>
  <si>
    <t xml:space="preserve">9 to 14</t>
  </si>
  <si>
    <t xml:space="preserve">Investment or asset management analyst</t>
  </si>
  <si>
    <t xml:space="preserve">cvmarket (period not stated); 6,625 in 2023 annual report; 4,257 Jan 2025</t>
  </si>
  <si>
    <t xml:space="preserve">Direct application</t>
  </si>
  <si>
    <t xml:space="preserve">AUM EUR 260m (Apr 2026) with a EUR 1bn ambition; Z114 Class A office club deal; Nasdaq-listed bonds. Averages include partners.</t>
  </si>
  <si>
    <t xml:space="preserve">https://capitalica.lt/funds/</t>
  </si>
  <si>
    <t xml:space="preserve">INVL Family Office (INVL Financial Advisors)</t>
  </si>
  <si>
    <t xml:space="preserve">Wealth management / multi-family office</t>
  </si>
  <si>
    <t xml:space="preserve">INVL Family Office (code not found); Category B brokerage licence</t>
  </si>
  <si>
    <t xml:space="preserve">Small (not found)</t>
  </si>
  <si>
    <t xml:space="preserve">Wealth or investment analyst, adviser</t>
  </si>
  <si>
    <t xml:space="preserve">INVL careers, networking</t>
  </si>
  <si>
    <t xml:space="preserve">Leading Baltic multi-family office with over EUR 900m client assets; co-organised the Invalda INVL notes offering (2024).</t>
  </si>
  <si>
    <t xml:space="preserve">https://www.invlfamilyoffice.com/</t>
  </si>
  <si>
    <t xml:space="preserve">ILTE (national development bank)</t>
  </si>
  <si>
    <t xml:space="preserve">Development finance / fund-of-funds</t>
  </si>
  <si>
    <t xml:space="preserve">ILTE (formerly UAB Investicijų ir verslo garantijos; code not found)</t>
  </si>
  <si>
    <t xml:space="preserve">Fund-of-funds, structured finance or securitisation analyst</t>
  </si>
  <si>
    <t xml:space="preserve">ILTE news and careers pages</t>
  </si>
  <si>
    <t xml:space="preserve">Grew to a EUR 1.5bn portfolio after the Aug 2025 consolidation; Lithuania's first green securitisation; runs VC programmes (MILInvest 2, Akceleratorius 3).</t>
  </si>
  <si>
    <t xml:space="preserve">https://governance.lt/en/vvi/ilte/</t>
  </si>
  <si>
    <t xml:space="preserve">Superia (Superia LT)</t>
  </si>
  <si>
    <t xml:space="preserve">Superia LT, UAB, 135215985</t>
  </si>
  <si>
    <t xml:space="preserve">About 5</t>
  </si>
  <si>
    <t xml:space="preserve">Scoris (period not stated)</t>
  </si>
  <si>
    <t xml:space="preserve">Networking, direct approach</t>
  </si>
  <si>
    <t xml:space="preserve">Claims #1 Baltic M&amp;A adviser by 2025 deal count (self-reported). Low average suggests a junior-heavy local office.</t>
  </si>
  <si>
    <t xml:space="preserve">https://www.superia.lt/news/superia-ranked-1-ma-adviser-baltics-number-transactions</t>
  </si>
  <si>
    <t xml:space="preserve">Artea bankas (treasury, model risk, financial analysis)</t>
  </si>
  <si>
    <t xml:space="preserve">Bank</t>
  </si>
  <si>
    <t xml:space="preserve">AB Artea bankas (code not verified)</t>
  </si>
  <si>
    <t xml:space="preserve">Financial Analyst, Model Risk Analyst</t>
  </si>
  <si>
    <t xml:space="preserve">Financial Analyst 2,080 to 3,120; Model Risk Analyst 2,600 to 3,890 NET (date unconfirmed)</t>
  </si>
  <si>
    <t xml:space="preserve">cvbankas</t>
  </si>
  <si>
    <t xml:space="preserve">Formerly Šiaulių bankas (renamed May 2025); total assets about EUR 5.84bn; Invalda INVL is the largest shareholder.</t>
  </si>
  <si>
    <t xml:space="preserve">https://en.cvbankas.lt/finansu-analitikas-e-vilniuje/1-13633361</t>
  </si>
  <si>
    <t xml:space="preserve">Eika Asset Management</t>
  </si>
  <si>
    <t xml:space="preserve">Eika Asset Management, UAB, 304094078</t>
  </si>
  <si>
    <t xml:space="preserve">19 to 20</t>
  </si>
  <si>
    <t xml:space="preserve">Fund analyst</t>
  </si>
  <si>
    <t xml:space="preserve">okredo (Sodra, Oct 2026); 5,132 Aug 2026; 6,853 Jan 2025</t>
  </si>
  <si>
    <t xml:space="preserve">Direct application; EIKA group</t>
  </si>
  <si>
    <t xml:space="preserve">Arm of a residential developer; Vilnius residential partnership funds. Hidden high payer relative to profile.</t>
  </si>
  <si>
    <t xml:space="preserve">https://okredo.com/lt-lt/imone/uab-eika-asset-management-304094078</t>
  </si>
  <si>
    <t xml:space="preserve">Luminor Bank (DCM, markets, risk)</t>
  </si>
  <si>
    <t xml:space="preserve">Luminor Bank AS Lithuanian branch (code not verified)</t>
  </si>
  <si>
    <t xml:space="preserve">DCM or markets analyst, finance, risk</t>
  </si>
  <si>
    <t xml:space="preserve">Luminor careers, MeetFrank</t>
  </si>
  <si>
    <t xml:space="preserve">Sale to OTP Bank signed 20 Jul 2026 (pending ECB approval): organisational uncertainty and possible opportunity. Runs a Baltic DCM desk.</t>
  </si>
  <si>
    <t xml:space="preserve">https://www.luminor.lt/en/news/luminor-plans-provide-debt-capital-markets-services</t>
  </si>
  <si>
    <t xml:space="preserve">Luminor investicijų valdymas</t>
  </si>
  <si>
    <t xml:space="preserve">Luminor investicijų valdymas, UAB, 226299280</t>
  </si>
  <si>
    <t xml:space="preserve">11 (2024)</t>
  </si>
  <si>
    <t xml:space="preserve">Junior analyst</t>
  </si>
  <si>
    <t xml:space="preserve">2024 (Scoris)</t>
  </si>
  <si>
    <t xml:space="preserve">Luminor careers</t>
  </si>
  <si>
    <t xml:space="preserve">Highest average among bank-owned managers, but only 11 staff. Parent sale to OTP adds uncertainty.</t>
  </si>
  <si>
    <t xml:space="preserve">https://scoris.lt/imone/226299280</t>
  </si>
  <si>
    <t xml:space="preserve">SEB (Credit Risk Model Validation, quant)</t>
  </si>
  <si>
    <t xml:space="preserve">Bank risk quant</t>
  </si>
  <si>
    <t xml:space="preserve">SEB bankas AB / SEB Global Services</t>
  </si>
  <si>
    <t xml:space="preserve">Junior Quantitative Data Analyst, Quantitative Analyst in Credit Risk Model Validation</t>
  </si>
  <si>
    <t xml:space="preserve">Junior 2,700 to 3,900 (up to 3 years); Quant Analyst 3,750 to 5,650</t>
  </si>
  <si>
    <t xml:space="preserve">SEB careers; stats, maths, econometrics or physics background</t>
  </si>
  <si>
    <t xml:space="preserve">Good entry benchmark for quant risk; second-line validation is stats-heavy rather than investing.</t>
  </si>
  <si>
    <t xml:space="preserve">https://sebgroup.com/career/find-your-new-job/our-vacant-positions/junior-quantitative-data-analyst-in-credit-risk-model-validation--seb-vilnius-7d921d26-4cc0-4d60-9d46-35b508d7920e</t>
  </si>
  <si>
    <t xml:space="preserve">Tesonet (Investments unit)</t>
  </si>
  <si>
    <t xml:space="preserve">Corporate venture / holding investments</t>
  </si>
  <si>
    <t xml:space="preserve">Tesonet (entity not specified)</t>
  </si>
  <si>
    <t xml:space="preserve">About 10 in investments unit</t>
  </si>
  <si>
    <t xml:space="preserve">Investment analyst</t>
  </si>
  <si>
    <t xml:space="preserve">Networking; Head of Investments Eglė Eidimtaitė</t>
  </si>
  <si>
    <t xml:space="preserve">Stakes in Nord Security, Oxylabs, Hostinger and Artea; six AI investments (Nov 2025); education platform with INVL PE Fund II.</t>
  </si>
  <si>
    <t xml:space="preserve">https://www.lrt.lt/en/news-in-english/19/2621216/tesonet-s-head-of-investments-sees-the-group-s-future-in-lithuania-this-is-home</t>
  </si>
  <si>
    <t xml:space="preserve">Coinvest Capital (ILTE)</t>
  </si>
  <si>
    <t xml:space="preserve">Venture capital (co-investment fund)</t>
  </si>
  <si>
    <t xml:space="preserve">Managed by an ILTE subsidiary (code not found)</t>
  </si>
  <si>
    <t xml:space="preserve">Investment Manager</t>
  </si>
  <si>
    <t xml:space="preserve">Investment Manager from 3,300 (posting about 1.5 years old)</t>
  </si>
  <si>
    <t xml:space="preserve">ILTE news pages and coinvest.lt; prefers foreign VC/PE experience, a master's degree or CFA progress</t>
  </si>
  <si>
    <t xml:space="preserve">Evergreen co-investment fund with EUR 44.3m committed; co-invests with angels and VCs.</t>
  </si>
  <si>
    <t xml:space="preserve">https://www.coinvest.lt/post/join-our-team-as-an-investment-manager</t>
  </si>
  <si>
    <t xml:space="preserve">SEB investicijų valdymas</t>
  </si>
  <si>
    <t xml:space="preserve">SEB investicijų valdymas, UAB, 125277981</t>
  </si>
  <si>
    <t xml:space="preserve">26</t>
  </si>
  <si>
    <t xml:space="preserve">Scoris (period not stated); monthly 2,100 to 2,700 in 2024</t>
  </si>
  <si>
    <t xml:space="preserve">SEB careers</t>
  </si>
  <si>
    <t xml:space="preserve">Passed the EUR 2.5bn second-pillar threshold; local mandate scope unverified.</t>
  </si>
  <si>
    <t xml:space="preserve">https://scoris.lt/en/imone/125277981</t>
  </si>
  <si>
    <t xml:space="preserve">Artea Asset Management</t>
  </si>
  <si>
    <t xml:space="preserve">Asset, pension and alternative funds manager</t>
  </si>
  <si>
    <t xml:space="preserve">Artea Asset Management, UAB (code not found)</t>
  </si>
  <si>
    <t xml:space="preserve">Fund or investment analyst</t>
  </si>
  <si>
    <t xml:space="preserve">Artea careers, cvbankas</t>
  </si>
  <si>
    <t xml:space="preserve">Largest third-pillar manager (about 40%); absorbed INVL's retail business; alternative funds are mainly fund-of-funds, not direct deals.</t>
  </si>
  <si>
    <t xml:space="preserve">https://www.pensijufondas.lt/uab-artea-asset-management/</t>
  </si>
  <si>
    <t xml:space="preserve">Green Genius (Modus Group)</t>
  </si>
  <si>
    <t xml:space="preserve">Renewables developer (M&amp;A, project finance)</t>
  </si>
  <si>
    <t xml:space="preserve">Code not found</t>
  </si>
  <si>
    <t xml:space="preserve">M&amp;A or project finance analyst</t>
  </si>
  <si>
    <t xml:space="preserve">Company careers (no investment postings found)</t>
  </si>
  <si>
    <t xml:space="preserve">EBRD took a minority stake of up to EUR 100m, its first outside equity; in-house M&amp;A and project finance.</t>
  </si>
  <si>
    <t xml:space="preserve">https://www.ebrd.com/home/news-and-events/news/2024/ebrd-invests-100-million-in-green-genius.html</t>
  </si>
  <si>
    <t xml:space="preserve">Civitta</t>
  </si>
  <si>
    <t xml:space="preserve">Strategy consulting</t>
  </si>
  <si>
    <t xml:space="preserve">Vilnius (HQ Tartu)</t>
  </si>
  <si>
    <t xml:space="preserve">UAB Civitta (code not confirmed)</t>
  </si>
  <si>
    <t xml:space="preserve">63 to 69 in Vilnius; group 700 to about 930</t>
  </si>
  <si>
    <t xml:space="preserve">Consultant</t>
  </si>
  <si>
    <t xml:space="preserve">Civitta careers, cvbankas</t>
  </si>
  <si>
    <t xml:space="preserve">Largest local strategy consultancy (founder ex-McKinsey); much EU funding work. No MBB office in Vilnius.</t>
  </si>
  <si>
    <t xml:space="preserve">https://www.consultancy.eu/firms/civitta</t>
  </si>
  <si>
    <t xml:space="preserve">Ministry of Finance (State Treasury Department, debt management)</t>
  </si>
  <si>
    <t xml:space="preserve">Public finance</t>
  </si>
  <si>
    <t xml:space="preserve">Ministry of Finance</t>
  </si>
  <si>
    <t xml:space="preserve">Specialist in the Borrowing and Investment Division</t>
  </si>
  <si>
    <t xml:space="preserve">Civil service job portal; Kurk Lietuvai for networking</t>
  </si>
  <si>
    <t xml:space="preserve">Sovereign debt management; no 2026 job ad or pay data found.</t>
  </si>
  <si>
    <t xml:space="preserve">https://finmin.lrv.lt/lt/veiklos-sritys/valstybes-skolos-valdymas/skolinimosi-reglamentavimas/</t>
  </si>
  <si>
    <t xml:space="preserve">Northern Horizon Capital</t>
  </si>
  <si>
    <t xml:space="preserve">Real estate investment manager</t>
  </si>
  <si>
    <t xml:space="preserve">Northern Horizon Capital, UAB, 300022971</t>
  </si>
  <si>
    <t xml:space="preserve">10 (Oct 2026)</t>
  </si>
  <si>
    <t xml:space="preserve">n/a (2025 revenue EUR 1.315m)</t>
  </si>
  <si>
    <t xml:space="preserve">Direct application; group teams in Copenhagen, Helsinki, Stockholm, Tallinn, Berlin</t>
  </si>
  <si>
    <t xml:space="preserve">Sold the Baltic Horizon Fund management company in 2025 (AIFM now in Tallinn), so the Vilnius role may shrink.</t>
  </si>
  <si>
    <t xml:space="preserve">https://okredo.com/lt-lt/imone/northern-horizon-capital-uab-300022971</t>
  </si>
  <si>
    <t xml:space="preserve">LitCapital (Litcapital Fund Management)</t>
  </si>
  <si>
    <t xml:space="preserve">Private equity (SMEs)</t>
  </si>
  <si>
    <t xml:space="preserve">UAB Litcapital Fund Management (code not found)</t>
  </si>
  <si>
    <t xml:space="preserve">LT VCA network (co-founder of LT VCA)</t>
  </si>
  <si>
    <t xml:space="preserve">Management company for informed-investor funds since Nov 2019; thin current data.</t>
  </si>
  <si>
    <t xml:space="preserve">https://www.lb.lt/en/sfi-financial-market-participants/uab-litcapital-fund-management</t>
  </si>
  <si>
    <t xml:space="preserve">TransferGo (FX and Treasury desk)</t>
  </si>
  <si>
    <t xml:space="preserve">Fintech (FX trading and treasury)</t>
  </si>
  <si>
    <t xml:space="preserve">TransferGo Lithuanian entity not confirmed</t>
  </si>
  <si>
    <t xml:space="preserve">Small desk (size unknown)</t>
  </si>
  <si>
    <t xml:space="preserve">FX and Treasury Quantitative Analyst/Trader, junior/mid FX trader</t>
  </si>
  <si>
    <t xml:space="preserve">2,200 to 4,000 (older listing tagged Kaunas; asked for 3+ years)</t>
  </si>
  <si>
    <t xml:space="preserve">Greenhouse job board; MD Treasury and FX Trading Gediminas Kiveris, CFA posts openings on LinkedIn</t>
  </si>
  <si>
    <t xml:space="preserve">Real FX trading seat with automated strategies and AI/ML. Experience usually requested; junior/mid trader opening mentioned by the MD.</t>
  </si>
  <si>
    <t xml:space="preserve">https://job-boards.greenhouse.io/transfergo/jobs/6005765004</t>
  </si>
  <si>
    <t xml:space="preserve">Grant Thornton Baltic (corporate finance and valuations)</t>
  </si>
  <si>
    <t xml:space="preserve">Mid-tier advisory</t>
  </si>
  <si>
    <t xml:space="preserve">Vilnius / Kaunas / Klaipėda</t>
  </si>
  <si>
    <t xml:space="preserve">Code not confirmed</t>
  </si>
  <si>
    <t xml:space="preserve">Financial consultant (valuations, due diligence, M&amp;A)</t>
  </si>
  <si>
    <t xml:space="preserve">GT job PDFs on its website</t>
  </si>
  <si>
    <t xml:space="preserve">Head of financial advisory is reportedly a former Covalis analyst (unverified), a useful networking link.</t>
  </si>
  <si>
    <t xml:space="preserve">https://www.grantthornton.lt/en/locations/vilnius</t>
  </si>
  <si>
    <t xml:space="preserve">Robinhood Europe</t>
  </si>
  <si>
    <t xml:space="preserve">Fintech broker (MiCA CASP and investment firm)</t>
  </si>
  <si>
    <t xml:space="preserve">Robinhood Europe, UAB (code not found)</t>
  </si>
  <si>
    <t xml:space="preserve">Not disclosed</t>
  </si>
  <si>
    <t xml:space="preserve">Risk Officer, compliance, operations</t>
  </si>
  <si>
    <t xml:space="preserve">Robinhood careers, LinkedIn; hires against a roadmap</t>
  </si>
  <si>
    <t xml:space="preserve">First MiCA CASP licence issued by the Bank of Lithuania plus Category A brokerage licence; EU hub since Aug 2023. Only old Vilnius postings found, mostly risk and compliance rather than investing.</t>
  </si>
  <si>
    <t xml:space="preserve">https://investlithuania.com/news/us-fintech-giant-robinhood-establishes-first-european-hub-in-lithuania/</t>
  </si>
  <si>
    <t xml:space="preserve">Allianz Lietuva gyvybės draudimas (pension funds)</t>
  </si>
  <si>
    <t xml:space="preserve">Insurance / pension fund manager</t>
  </si>
  <si>
    <t xml:space="preserve">Investment or pension fund analyst</t>
  </si>
  <si>
    <t xml:space="preserve">Allianz careers</t>
  </si>
  <si>
    <t xml:space="preserve">One of six second-pillar managers (took over Aviva's pension business); the one insurer with local investment management.</t>
  </si>
  <si>
    <t xml:space="preserve">https://www.tv3.lt/naujiena/verslas/bankai-ir-ju-pensiju-fondai-slepia-kiek-gyventoju-paprase-grazinti-sukauptus-pinigus-kodel-n1484027</t>
  </si>
  <si>
    <t xml:space="preserve">FIRSTPICK</t>
  </si>
  <si>
    <t xml:space="preserve">Venture capital (pre-seed)</t>
  </si>
  <si>
    <t xml:space="preserve">Small (2 partners plus team)</t>
  </si>
  <si>
    <t xml:space="preserve">LinkedIn, networking with partners</t>
  </si>
  <si>
    <t xml:space="preserve">Fund II EUR 25m closed Mar 2026 (about EUR 45m total); ILTE and the Ministry of Economy are LPs.</t>
  </si>
  <si>
    <t xml:space="preserve">https://tech.eu/2026/03/05/firstpick-raises-eur25m-to-find-the-baltics-next-breakout-founders/</t>
  </si>
  <si>
    <t xml:space="preserve">Evernord Asset Management</t>
  </si>
  <si>
    <t xml:space="preserve">Private credit and multi-asset funds</t>
  </si>
  <si>
    <t xml:space="preserve">Evernord Asset Management, UAB, 304541337</t>
  </si>
  <si>
    <t xml:space="preserve">About 12</t>
  </si>
  <si>
    <t xml:space="preserve">Bond, real estate and multi-asset funds; AIFM licence dated 25 Aug 2026 on the Bank of Lithuania list.</t>
  </si>
  <si>
    <t xml:space="preserve">https://scoris.lt/en/imone/304541337</t>
  </si>
  <si>
    <t xml:space="preserve">Orion Securities</t>
  </si>
  <si>
    <t xml:space="preserve">Broker with corporate finance (ECM/DCM)</t>
  </si>
  <si>
    <t xml:space="preserve">UAB FMĮ Orion Securities, 122033915</t>
  </si>
  <si>
    <t xml:space="preserve">Corporate finance or brokerage analyst</t>
  </si>
  <si>
    <t xml:space="preserve">Category A brokerage licence; placed Lords LB's first public fund offering. Fined by the Bank of Lithuania in 2015 and 2021; no 2025 or 2026 CF deal found.</t>
  </si>
  <si>
    <t xml:space="preserve">https://www.lb.lt/en/sfi-financial-market-participants/uab-fmi-orion-securities</t>
  </si>
  <si>
    <t xml:space="preserve">Iron Wolf Capital</t>
  </si>
  <si>
    <t xml:space="preserve">Venture capital (deep tech and defence)</t>
  </si>
  <si>
    <t xml:space="preserve">Vilnius (London presence)</t>
  </si>
  <si>
    <t xml:space="preserve">Iron Wolf Capital Management, UAB, 304711768</t>
  </si>
  <si>
    <t xml:space="preserve">About 4</t>
  </si>
  <si>
    <t xml:space="preserve">Intern, Associate (Warsaw-based)</t>
  </si>
  <si>
    <t xml:space="preserve">Scoris (1,761 in 2024)</t>
  </si>
  <si>
    <t xml:space="preserve">LinkedIn internship posts</t>
  </si>
  <si>
    <t xml:space="preserve">Fund II target EUR 100m (about EUR 30m at launch, Jun 2025). Low average suggests junior or part-time staff.</t>
  </si>
  <si>
    <t xml:space="preserve">https://scoris.lt/imone/304711768</t>
  </si>
  <si>
    <t xml:space="preserve">Accenture Baltics</t>
  </si>
  <si>
    <t xml:space="preserve">Consulting</t>
  </si>
  <si>
    <t xml:space="preserve">LinkedIn jobs</t>
  </si>
  <si>
    <t xml:space="preserve">Posts consulting roles in Vilnius; low finance relevance.</t>
  </si>
  <si>
    <t xml:space="preserve">https://lt.linkedin.com/jobs/consultant-jobs?countryRedirected=1</t>
  </si>
  <si>
    <t xml:space="preserve">Vilniaus prekyba (VP Group)</t>
  </si>
  <si>
    <t xml:space="preserve">Investment holding (Maxima owner)</t>
  </si>
  <si>
    <t xml:space="preserve">Corporate development or investment analyst (unconfirmed)</t>
  </si>
  <si>
    <t xml:space="preserve">Networking only (no postings found)</t>
  </si>
  <si>
    <t xml:space="preserve">Main activity is managing investments in subsidiaries; opaque hiring.</t>
  </si>
  <si>
    <t xml:space="preserve">https://en.wikipedia.org/wiki/Vilniaus_prekyba</t>
  </si>
  <si>
    <t xml:space="preserve">Avia Solutions Group (Vilnius management centre)</t>
  </si>
  <si>
    <t xml:space="preserve">Vilnius (HQ Dublin since 2023)</t>
  </si>
  <si>
    <t xml:space="preserve">50+ professionals in the global management centre</t>
  </si>
  <si>
    <t xml:space="preserve">Finance or business analyst</t>
  </si>
  <si>
    <t xml:space="preserve">ASG careers</t>
  </si>
  <si>
    <t xml:space="preserve">Acquisitive aviation group; postings found are finance and business analyst roles, not M&amp;A.</t>
  </si>
  <si>
    <t xml:space="preserve">https://careers.aviasg.com/en/aviation-business-group/avia-solutions-group-career</t>
  </si>
  <si>
    <t xml:space="preserve">GET Baltic (gas exchange)</t>
  </si>
  <si>
    <t xml:space="preserve">Exchange / market infrastructure (energy)</t>
  </si>
  <si>
    <t xml:space="preserve">GET Baltic (owned by EEX and Amber Grid; code not confirmed)</t>
  </si>
  <si>
    <t xml:space="preserve">Market operations, trading surveillance (inferred)</t>
  </si>
  <si>
    <t xml:space="preserve">Direct application; EEX group careers</t>
  </si>
  <si>
    <t xml:space="preserve">Licensed gas market operator for Lithuania, Latvia/Estonia and Finland; EEX launched Baltic and Finnish gas markets in May 2025. Small team, few seats.</t>
  </si>
  <si>
    <t xml:space="preserve">https://www.getbaltic.com/en/trading/exchange-participants/</t>
  </si>
  <si>
    <t xml:space="preserve">Citadele bankas (Lithuanian branch)</t>
  </si>
  <si>
    <t xml:space="preserve">Vilnius, Kaunas, Klaipėda, Panevėžys, Šiauliai</t>
  </si>
  <si>
    <t xml:space="preserve">Citadele Lithuanian branch (code not verified)</t>
  </si>
  <si>
    <t xml:space="preserve">Relationship Manager</t>
  </si>
  <si>
    <t xml:space="preserve">cvonline</t>
  </si>
  <si>
    <t xml:space="preserve">Reported 2025 net loss of about EUR 84.7m (unverified, Wikipedia).</t>
  </si>
  <si>
    <t xml:space="preserve">https://cvonline.lt/en/vacancy/1350641/citadele-bankas/relationship-manager</t>
  </si>
  <si>
    <t xml:space="preserve">Open Circle Capital</t>
  </si>
  <si>
    <t xml:space="preserve">Venture capital (ICT, robotics)</t>
  </si>
  <si>
    <t xml:space="preserve">Networking</t>
  </si>
  <si>
    <t xml:space="preserve">About EUR 20m AUM; tickets EUR 100k to 500k.</t>
  </si>
  <si>
    <t xml:space="preserve">https://www.opencirclecapital.lt/</t>
  </si>
  <si>
    <t xml:space="preserve">Moody's (Vilnius)</t>
  </si>
  <si>
    <t xml:space="preserve">Ratings agency hub</t>
  </si>
  <si>
    <t xml:space="preserve">Financial Analyst (advertised), cyber security, back office</t>
  </si>
  <si>
    <t xml:space="preserve">Not found (Moody's SOC analyst about 30,000 per year)</t>
  </si>
  <si>
    <t xml:space="preserve">Moody's careers, Work in Lithuania</t>
  </si>
  <si>
    <t xml:space="preserve">Hub started with back office and HR (2019); no evidence of rating analytics or quant roles.</t>
  </si>
  <si>
    <t xml:space="preserve">https://jobs.workinlithuania.com/job-offers/10337-financial-analyst</t>
  </si>
  <si>
    <t xml:space="preserve">Vastint Lithuania</t>
  </si>
  <si>
    <t xml:space="preserve">Real estate developer / investor</t>
  </si>
  <si>
    <t xml:space="preserve">Portfolio or development finance analyst</t>
  </si>
  <si>
    <t xml:space="preserve">LinkedIn</t>
  </si>
  <si>
    <t xml:space="preserve">In Lithuania since 1998; portfolio management and commercial development (e.g. Business Garden). No analyst hiring data.</t>
  </si>
  <si>
    <t xml:space="preserve">https://lt.linkedin.com/company/vastint-lithuania</t>
  </si>
  <si>
    <t xml:space="preserve">MG Baltic (MG grupė)</t>
  </si>
  <si>
    <t xml:space="preserve">About 3,920 group</t>
  </si>
  <si>
    <t xml:space="preserve">About EUR 869m revenue (2024); holds media assets and Apranga.</t>
  </si>
  <si>
    <t xml:space="preserve">https://lt.wikipedia.org/wiki/MG_grup%C4%97</t>
  </si>
  <si>
    <t xml:space="preserve">Akola Group (formerly Linas Agro)</t>
  </si>
  <si>
    <t xml:space="preserve">Commodity (grain and agri trading)</t>
  </si>
  <si>
    <t xml:space="preserve">Lithuania (location not confirmed in notes)</t>
  </si>
  <si>
    <t xml:space="preserve">Akola Group (code not confirmed)</t>
  </si>
  <si>
    <t xml:space="preserve">Commodity trading or finance analyst (unconfirmed)</t>
  </si>
  <si>
    <t xml:space="preserve">Company careers (no ads found)</t>
  </si>
  <si>
    <t xml:space="preserve">Named as a plausible agri-trading employer; no current trading or risk ads found.</t>
  </si>
  <si>
    <t xml:space="preserve">Orlen Lietuva</t>
  </si>
  <si>
    <t xml:space="preserve">Commodity (refining; crude and product procurement)</t>
  </si>
  <si>
    <t xml:space="preserve">Mažeikiai</t>
  </si>
  <si>
    <t xml:space="preserve">Orlen Lietuva (code not confirmed)</t>
  </si>
  <si>
    <t xml:space="preserve">Procurement, hedging or treasury analyst (unconfirmed)</t>
  </si>
  <si>
    <t xml:space="preserve">Orlen group careers (no ads found)</t>
  </si>
  <si>
    <t xml:space="preserve">Plausible commodity-adjacent employer; no trading, risk or quant ads or pay data found. Located outside Vilnius.</t>
  </si>
  <si>
    <t xml:space="preserve">https://en.wikipedia.org/wiki/Orlen</t>
  </si>
  <si>
    <t xml:space="preserve">Elektrum Lietuva (Latvenergo)</t>
  </si>
  <si>
    <t xml:space="preserve">Energy supply (B2B, gas exchange participant)</t>
  </si>
  <si>
    <t xml:space="preserve">Elektrum Lietuva, UAB (code not confirmed)</t>
  </si>
  <si>
    <t xml:space="preserve">231 (May 2025)</t>
  </si>
  <si>
    <t xml:space="preserve">Supply planning, pricing or portfolio analyst (inferred)</t>
  </si>
  <si>
    <t xml:space="preserve">May 2025 (tax.lt); monthly 3,120 to 5,271 in Jan to May 2025</t>
  </si>
  <si>
    <t xml:space="preserve">Company site, Latvenergo group careers</t>
  </si>
  <si>
    <t xml:space="preserve">No Lithuanian trading desk evidenced; group trading appears to sit in Riga. Pays well above national average even without a desk.</t>
  </si>
  <si>
    <t xml:space="preserve">https://tax.lt/imones/935-elektrum-lietuva-uab</t>
  </si>
  <si>
    <t xml:space="preserve">BRAITIN Investments</t>
  </si>
  <si>
    <t xml:space="preserve">Real estate, debt and renewables investor</t>
  </si>
  <si>
    <t xml:space="preserve">Direct approach</t>
  </si>
  <si>
    <t xml:space="preserve">Occupies the former Lewben Investment Management LinkedIn page; relationship to Lewben unclear.</t>
  </si>
  <si>
    <t xml:space="preserve">https://lt.linkedin.com/company/lewben-investment-management</t>
  </si>
  <si>
    <t xml:space="preserve">Investicijų valdymas Prosperus</t>
  </si>
  <si>
    <t xml:space="preserve">Alternative fund manager (AIFM)</t>
  </si>
  <si>
    <t xml:space="preserve">Investicijų valdymas Prosperus, UAB, 303144788</t>
  </si>
  <si>
    <t xml:space="preserve">2025 average (Scoris)</t>
  </si>
  <si>
    <t xml:space="preserve">AIFM licence from Feb 2025; scope unclear.</t>
  </si>
  <si>
    <t xml:space="preserve">https://scoris.lt/en/imone/303144788</t>
  </si>
  <si>
    <t xml:space="preserve">Baltic Sandbox Ventures</t>
  </si>
  <si>
    <t xml:space="preserve">Venture capital (deep tech, life sciences)</t>
  </si>
  <si>
    <t xml:space="preserve">Founded 2022; about 20 investments; thin data.</t>
  </si>
  <si>
    <t xml:space="preserve">https://www.vestbee.com/insights/articles/lithuanian-startup-and-vc-ecosystem-report</t>
  </si>
  <si>
    <t xml:space="preserve">Enefit (Eesti Energia)</t>
  </si>
  <si>
    <t xml:space="preserve">Energy supply</t>
  </si>
  <si>
    <t xml:space="preserve">Enefit, UAB (code not confirmed)</t>
  </si>
  <si>
    <t xml:space="preserve">Supply, pricing or B2B analyst (inferred)</t>
  </si>
  <si>
    <t xml:space="preserve">n/a (tax.lt 2,188 snippet mixed with Elektrum data; unreliable)</t>
  </si>
  <si>
    <t xml:space="preserve">Company site, Enefit group careers</t>
  </si>
  <si>
    <t xml:space="preserve">Retail and B2B supply office; no Lithuanian trading-desk ads found; group trading appears to sit in Tallinn.</t>
  </si>
  <si>
    <t xml:space="preserve">https://www.enefit.lt/en/privatiems/apie-mus</t>
  </si>
  <si>
    <t xml:space="preserve">Citco (Vilnius)</t>
  </si>
  <si>
    <t xml:space="preserve">Fund administration</t>
  </si>
  <si>
    <t xml:space="preserve">900+ (Invest Lithuania); older profile said about 80</t>
  </si>
  <si>
    <t xml:space="preserve">Trade matching operations, fund accounting</t>
  </si>
  <si>
    <t xml:space="preserve">Trade matching operations 2,000 to 2,500</t>
  </si>
  <si>
    <t xml:space="preserve">MeetFrank, Citco careers</t>
  </si>
  <si>
    <t xml:space="preserve">Serves hedge funds, but operations rather than investing.</t>
  </si>
  <si>
    <t xml:space="preserve">https://investlithuania.com/success-stories/citco/</t>
  </si>
  <si>
    <t xml:space="preserve">Alter Domus (Vilnius)</t>
  </si>
  <si>
    <t xml:space="preserve">About 300 planned</t>
  </si>
  <si>
    <t xml:space="preserve">Fund administration, corporate services, payments</t>
  </si>
  <si>
    <t xml:space="preserve">Alter Domus careers</t>
  </si>
  <si>
    <t xml:space="preserve">Alternative-assets administrator; back and middle office.</t>
  </si>
  <si>
    <t xml:space="preserve">https://investlithuania.com/news/market-leading-alternative-investment-services-provider-expands-operations-to-vilnius/</t>
  </si>
  <si>
    <t xml:space="preserve">Mano bankas</t>
  </si>
  <si>
    <t xml:space="preserve">AB Mano bankas (code not found)</t>
  </si>
  <si>
    <t xml:space="preserve">51 to 200</t>
  </si>
  <si>
    <t xml:space="preserve">Finance, risk, credit analyst</t>
  </si>
  <si>
    <t xml:space="preserve">Careers site</t>
  </si>
  <si>
    <t xml:space="preserve">CEO ceased to serve from 1 Sep 2026 (leadership change).</t>
  </si>
  <si>
    <t xml:space="preserve">https://www.mano.bank/en/news/</t>
  </si>
  <si>
    <t xml:space="preserve">Paysera LT</t>
  </si>
  <si>
    <t xml:space="preserve">Fintech (EMI)</t>
  </si>
  <si>
    <t xml:space="preserve">Paysera LT, UAB (code not found)</t>
  </si>
  <si>
    <t xml:space="preserve">Finance control, compliance</t>
  </si>
  <si>
    <t xml:space="preserve">Safeguarded funds about EUR 596m, revenue EUR 29m (2025); compliance and operations focus.</t>
  </si>
  <si>
    <t xml:space="preserve">https://thebanks.eu/emis/paysera-lt-354718</t>
  </si>
  <si>
    <t xml:space="preserve">Goindex</t>
  </si>
  <si>
    <t xml:space="preserve">Passive pension fund manager</t>
  </si>
  <si>
    <t xml:space="preserve">Very small</t>
  </si>
  <si>
    <t xml:space="preserve">Independent passive second-pillar manager with about EUR 40m.</t>
  </si>
  <si>
    <t xml:space="preserve">https://www.lrt.lt/naujienos/verslas/4/2532696/raudonuojanti-birza-veikia-ir-ii-pakopa-kiek-milijonu-isgaravo-nuo-metu-pradzios</t>
  </si>
  <si>
    <t xml:space="preserve">KN Energies</t>
  </si>
  <si>
    <t xml:space="preserve">Commodity infrastructure (Klaipėda LNG and oil terminals)</t>
  </si>
  <si>
    <t xml:space="preserve">Klaipėda</t>
  </si>
  <si>
    <t xml:space="preserve">KN Energies (code not confirmed)</t>
  </si>
  <si>
    <t xml:space="preserve">Commercial or finance analyst (unconfirmed)</t>
  </si>
  <si>
    <t xml:space="preserve">Terminal operator rather than trader; commodity-adjacent only.</t>
  </si>
  <si>
    <t xml:space="preserve">https://www.globenewswire.com/news-release/2026/09/10/3359205/0/en/ignitis-to-enter-into-a-long-term-lng-purchase-agreement.html</t>
  </si>
  <si>
    <t xml:space="preserve">Katalista Ventures</t>
  </si>
  <si>
    <t xml:space="preserve">Venture capital / accelerator</t>
  </si>
  <si>
    <t xml:space="preserve">Analyst, programme associate</t>
  </si>
  <si>
    <t xml:space="preserve">Hybrid accelerator and fund; thin data.</t>
  </si>
  <si>
    <t xml:space="preserve">Galio Group</t>
  </si>
  <si>
    <t xml:space="preserve">Real estate developer</t>
  </si>
  <si>
    <t xml:space="preserve">Galio Group, UAB (code not confirmed)</t>
  </si>
  <si>
    <t xml:space="preserve">Development finance analyst</t>
  </si>
  <si>
    <t xml:space="preserve">Lithuania, Latvia and Poland; 11 projects in pipeline; no hiring data.</t>
  </si>
  <si>
    <t xml:space="preserve">https://galio.lt/en/</t>
  </si>
  <si>
    <t xml:space="preserve">Strategy Labs</t>
  </si>
  <si>
    <t xml:space="preserve">Management consulting</t>
  </si>
  <si>
    <t xml:space="preserve">Vilnius-HQ management consultancy; thin data.</t>
  </si>
  <si>
    <t xml:space="preserve">https://craft.co/strategy-labs</t>
  </si>
  <si>
    <t xml:space="preserve">Achemos grupė (Achema)</t>
  </si>
  <si>
    <t xml:space="preserve">Commodity (fertilisers; large gas buyer)</t>
  </si>
  <si>
    <t xml:space="preserve">Achemos grupė (code not confirmed)</t>
  </si>
  <si>
    <t xml:space="preserve">Gas procurement or hedging analyst (unconfirmed)</t>
  </si>
  <si>
    <t xml:space="preserve">Direct approach (no ads found)</t>
  </si>
  <si>
    <t xml:space="preserve">Probably has gas procurement and hedging teams; no group-level investment or trading team information found.</t>
  </si>
  <si>
    <t xml:space="preserve">https://en.wikipedia.org/wiki/Achema</t>
  </si>
  <si>
    <t xml:space="preserve">Western Union Processing Lithuania</t>
  </si>
  <si>
    <t xml:space="preserve">Back-office hub (payments operations)</t>
  </si>
  <si>
    <t xml:space="preserve">Western Union Processing Lithuania, UAB, 302513944</t>
  </si>
  <si>
    <t xml:space="preserve">879 to 943</t>
  </si>
  <si>
    <t xml:space="preserve">AML compliance specialist, operations</t>
  </si>
  <si>
    <t xml:space="preserve">AML compliance specialist 1,530 to 2,040</t>
  </si>
  <si>
    <t xml:space="preserve">Aug 2026 (info.lt); 3,336 Sep 2025</t>
  </si>
  <si>
    <t xml:space="preserve">CVMarket, careers site</t>
  </si>
  <si>
    <t xml:space="preserve">Operations and compliance; headcount shrinking from an older claim of about 2,000.</t>
  </si>
  <si>
    <t xml:space="preserve">https://scoris.lt/imone/302513944/darbuotojai_atlyginimai</t>
  </si>
  <si>
    <t xml:space="preserve">Amicorp (Vilnius)</t>
  </si>
  <si>
    <t xml:space="preserve">Fund and corporate administration</t>
  </si>
  <si>
    <t xml:space="preserve">Amicorp site</t>
  </si>
  <si>
    <t xml:space="preserve">Offers fund administration, family-office and IB services; small and operations-led.</t>
  </si>
  <si>
    <t xml:space="preserve">https://amicorp.com/offices/lithuania/</t>
  </si>
  <si>
    <t xml:space="preserve">Score</t>
  </si>
  <si>
    <t xml:space="preserve">Weight</t>
  </si>
  <si>
    <t xml:space="preserve">Notes</t>
  </si>
  <si>
    <t xml:space="preserve">Pay score</t>
  </si>
  <si>
    <t xml:space="preserve">Default 25%. Column K on Rankings.</t>
  </si>
  <si>
    <t xml:space="preserve">Prestige score</t>
  </si>
  <si>
    <t xml:space="preserve">Default 25%. Column L on Rankings.</t>
  </si>
  <si>
    <t xml:space="preserve">Fit for HEC MIF profile</t>
  </si>
  <si>
    <t xml:space="preserve">Default 20%. Column M on Rankings.</t>
  </si>
  <si>
    <t xml:space="preserve">Accessibility / hiring likelihood</t>
  </si>
  <si>
    <t xml:space="preserve">Default 15%. Column N on Rankings.</t>
  </si>
  <si>
    <t xml:space="preserve">Learning and exit opportunities</t>
  </si>
  <si>
    <t xml:space="preserve">Default 15%. Column O on Rankings.</t>
  </si>
  <si>
    <t xml:space="preserve">Total</t>
  </si>
  <si>
    <t xml:space="preserve">Weighted totals are divided by this sum, so they stay on a 1 to 10 scale even if it is not 100%.</t>
  </si>
  <si>
    <t xml:space="preserve">Check</t>
  </si>
  <si>
    <t xml:space="preserve">Tier thresholds</t>
  </si>
  <si>
    <t xml:space="preserve">Tier A: minimum weighted total</t>
  </si>
  <si>
    <t xml:space="preserve">Default 6.5. Totals at or above this are Tier A.</t>
  </si>
  <si>
    <t xml:space="preserve">Tier B: minimum weighted total</t>
  </si>
  <si>
    <t xml:space="preserve">Default 5.0. Totals from this up to the Tier A threshold are Tier B; anything lower is Tier C.</t>
  </si>
  <si>
    <t xml:space="preserve">How to use</t>
  </si>
  <si>
    <t xml:space="preserve">Edit only the yellow cells with blue text (B2:B6 weights, B11:B12 tier thresholds). Rankings recalculate the weighted total, rank and tier automatically. Row order on Rankings stays as sorted by the default weights; re-sort with the filter on the Weighted total or Rank column after changing weights.</t>
  </si>
  <si>
    <t xml:space="preserve">Scores themselves (Rankings K:O, blue text) are also editable inputs, whole numbers 1 to 10.</t>
  </si>
  <si>
    <t xml:space="preserve">Company / firm</t>
  </si>
  <si>
    <t xml:space="preserve">Exclusion type</t>
  </si>
  <si>
    <t xml:space="preserve">Reason</t>
  </si>
  <si>
    <t xml:space="preserve">Source URL</t>
  </si>
  <si>
    <t xml:space="preserve">Barclays (Vilnius operations centre)</t>
  </si>
  <si>
    <t xml:space="preserve">Exited</t>
  </si>
  <si>
    <t xml:space="preserve">Closed in 2019: about 460 jobs moved to HCL Technologies and about 260 redundancies; Swedbank bought the Rise Vilnius fintech centre.</t>
  </si>
  <si>
    <t xml:space="preserve">https://www.baltictimes.com/barclays_set_to_close_its_operations_center_in_lithuania__to_lay_off_some_260_people/</t>
  </si>
  <si>
    <t xml:space="preserve">Kevin EU, UAB (kevin.)</t>
  </si>
  <si>
    <t xml:space="preserve">Fintech (payments)</t>
  </si>
  <si>
    <t xml:space="preserve">Insolvent</t>
  </si>
  <si>
    <t xml:space="preserve">Insolvency opened by Vilnius Regional Court on 19 Sep 2024; Bank of Lithuania revoked its licence. Its rekvi.lt TOP 100 average (about EUR 13,966) is a tiny-headcount artefact.</t>
  </si>
  <si>
    <t xml:space="preserve">https://www.lb.lt/en/news/payment-institution-licence-of-kevin-eu-uab-revoked</t>
  </si>
  <si>
    <t xml:space="preserve">Binance / Bifinity UAB</t>
  </si>
  <si>
    <t xml:space="preserve">Crypto exchange and payments</t>
  </si>
  <si>
    <t xml:space="preserve">Ceased operations 31 Dec 2025, no MiCA licence, one employee left by Jun 2026.</t>
  </si>
  <si>
    <t xml:space="preserve">https://www.lrt.lt/en/news-in-english/19/2957111/binance-withdraws-from-lithuania</t>
  </si>
  <si>
    <t xml:space="preserve">Inter RAO Lietuva AB</t>
  </si>
  <si>
    <t xml:space="preserve">Energy trading / import</t>
  </si>
  <si>
    <t xml:space="preserve">Sanctioned and inactive</t>
  </si>
  <si>
    <t xml:space="preserve">Stopped supplying electricity in May 2022; under FNTT sanctions over Putin-linked ties; case referred to the EU Court of Justice; 2026 spin-off plan not confirmed.</t>
  </si>
  <si>
    <t xml:space="preserve">https://www.lrt.lt/naujienos/verslas/4/2913025/inter-rao-lietuvos-pertvarka-nesankcionuoti-akcininkai-ketina-kurti-nauja-imone</t>
  </si>
  <si>
    <t xml:space="preserve">GPS Capital Markets Europe, UAB</t>
  </si>
  <si>
    <t xml:space="preserve">FX payments</t>
  </si>
  <si>
    <t xml:space="preserve">Unreliable signal</t>
  </si>
  <si>
    <t xml:space="preserve">Average of about EUR 55,828 with only 4 employees (rekvi.lt TOP 100): reflects one or two executives, not junior pay; payments rather than investing.</t>
  </si>
  <si>
    <t xml:space="preserve">https://rekvi.lt/en/top100?sort=atlyginimai</t>
  </si>
  <si>
    <t xml:space="preserve">AlphaPay, UAB</t>
  </si>
  <si>
    <t xml:space="preserve">Payments</t>
  </si>
  <si>
    <t xml:space="preserve">Average of about EUR 15,693 with 6 employees: tiny-headcount average driven by directors; payments business.</t>
  </si>
  <si>
    <t xml:space="preserve">Onlychain Fintech Limited</t>
  </si>
  <si>
    <t xml:space="preserve">Crypto/fintech branch</t>
  </si>
  <si>
    <t xml:space="preserve">Top Sodra payer in Jan 2026 per TV3 snippet; probably a small branch; crypto/payments; no evidence of investment roles.</t>
  </si>
  <si>
    <t xml:space="preserve">https://www.tv3.lt/naujiena/verslas/didziausi-atlyginimai-lietuvoje-sausi-kai-kurios-imones-savo-darbuotojams-mokejo-ir-po-79-tukst-euru-n1498035</t>
  </si>
  <si>
    <t xml:space="preserve">Sound asset management, UAB</t>
  </si>
  <si>
    <t xml:space="preserve">Fund manager (66.30)</t>
  </si>
  <si>
    <t xml:space="preserve">Average about EUR 6,800 with 5 employees and a small loss; activity unknown; average likely reflects owners or directors.</t>
  </si>
  <si>
    <t xml:space="preserve">https://scoris.lt/en/imone/306274580</t>
  </si>
  <si>
    <t xml:space="preserve">Groa Capital</t>
  </si>
  <si>
    <t xml:space="preserve">Insufficient evidence</t>
  </si>
  <si>
    <t xml:space="preserve">Surfaced on Scoris without wage, headcount or activity detail.</t>
  </si>
  <si>
    <t xml:space="preserve">https://scoris.lt/imone/304062479</t>
  </si>
  <si>
    <t xml:space="preserve">Covalio industry investment, UAB</t>
  </si>
  <si>
    <t xml:space="preserve">Unrelated</t>
  </si>
  <si>
    <t xml:space="preserve">False match</t>
  </si>
  <si>
    <t xml:space="preserve">Kaunas entity with 1 employee; name near-hit for Covalis, unrelated.</t>
  </si>
  <si>
    <t xml:space="preserve">https://scoris.eu/company/LT/301870555</t>
  </si>
  <si>
    <t xml:space="preserve">Algorithmic Trading Portfolio (Orion AM, Dr Aistis Raudys)</t>
  </si>
  <si>
    <t xml:space="preserve">Systematic hedge fund</t>
  </si>
  <si>
    <t xml:space="preserve">Only Lithuanian algorithmic hedge fund; reportedly stopped running in 2021.</t>
  </si>
  <si>
    <t xml:space="preserve">https://en.wikipedia.org/wiki/Aistis_Raudys</t>
  </si>
  <si>
    <t xml:space="preserve">Perpetual Trading Labs, UAB (306325224)</t>
  </si>
  <si>
    <t xml:space="preserve">Possible crypto trading vehicle</t>
  </si>
  <si>
    <t xml:space="preserve">Activity unconfirmed; D&amp;B estimates 1 to 24 staff; no Sodra data.</t>
  </si>
  <si>
    <t xml:space="preserve">https://www.lursoft.lv/en/companies/lt/company/uab-perpetual-trading-labs/306325224</t>
  </si>
  <si>
    <t xml:space="preserve">The Algo Trading Lab, TraderWise.me, Autotrading Academy, Quanted</t>
  </si>
  <si>
    <t xml:space="preserve">Algo-trading tool vendors</t>
  </si>
  <si>
    <t xml:space="preserve">Not a trading employer</t>
  </si>
  <si>
    <t xml:space="preserve">Freelance or tool and training shops, not proprietary trading firms.</t>
  </si>
  <si>
    <t xml:space="preserve">https://ensun.io/search/quantitative-trading/lithuania</t>
  </si>
  <si>
    <t xml:space="preserve">Admirals (Vilnius)</t>
  </si>
  <si>
    <t xml:space="preserve">FX/CFD broker</t>
  </si>
  <si>
    <t xml:space="preserve">Not high-finance roles</t>
  </si>
  <si>
    <t xml:space="preserve">Vilnius roles found are sales roles.</t>
  </si>
  <si>
    <t xml:space="preserve">https://www.jobsinforex.com/job-location/vilnius/</t>
  </si>
  <si>
    <t xml:space="preserve">Decentralized (CoinGate), Nuvei Liquidity, IXFI</t>
  </si>
  <si>
    <t xml:space="preserve">Crypto payments / exchange</t>
  </si>
  <si>
    <t xml:space="preserve">Not investing roles</t>
  </si>
  <si>
    <t xml:space="preserve">MiCA-licensed or exchange entities focused on payments and compliance, not prop trading.</t>
  </si>
  <si>
    <t xml:space="preserve">https://www.lrt.lt/en/news-in-english/19/2800277/not-a-crypto-haven-new-regulation-drastically-shrinks-lithuania-s-crypto-asset-sector</t>
  </si>
  <si>
    <t xml:space="preserve">Gravity Team</t>
  </si>
  <si>
    <t xml:space="preserve">Crypto market maker</t>
  </si>
  <si>
    <t xml:space="preserve">No Lithuanian team</t>
  </si>
  <si>
    <t xml:space="preserve">Based in Riga (Moon Inc SIA); no Vilnius office. Worth considering as a nearby Riga alternative.</t>
  </si>
  <si>
    <t xml:space="preserve">https://www.gravityteam.co/careers</t>
  </si>
  <si>
    <t xml:space="preserve">Millennium, Citadel, Balyasny, Marshall Wace</t>
  </si>
  <si>
    <t xml:space="preserve">Multi-manager hedge funds</t>
  </si>
  <si>
    <t xml:space="preserve">No Vilnius team</t>
  </si>
  <si>
    <t xml:space="preserve">No evidence of Vilnius offices.</t>
  </si>
  <si>
    <t xml:space="preserve">https://www.efinancialcareers.de/en/news/high-frequency-trading-hiring-and-pay</t>
  </si>
  <si>
    <t xml:space="preserve">Optiver, IMC, Jane Street, Jump, DRW, Citadel Securities, Keyrock, Caladan, JPEG Trading, Raven</t>
  </si>
  <si>
    <t xml:space="preserve">HFT / market makers</t>
  </si>
  <si>
    <t xml:space="preserve">Searches found no Vilnius offices.</t>
  </si>
  <si>
    <t xml:space="preserve">https://ensun.io/search/cryptocurrency/lithuania</t>
  </si>
  <si>
    <t xml:space="preserve">Vitol, Trafigura, Mercuria, DV Commodities, Axpo, Statkraft, Danske Commodities, Fortum, Vattenfall, Uniper</t>
  </si>
  <si>
    <t xml:space="preserve">Commodity and energy traders</t>
  </si>
  <si>
    <t xml:space="preserve">No Lithuanian trading office</t>
  </si>
  <si>
    <t xml:space="preserve">No evidence of Lithuanian trading desks (absence of evidence); relevant as abroad options.</t>
  </si>
  <si>
    <t xml:space="preserve">https://www.tv3.lt/naujiena/verslas/brangi-elektra-dujos-ir-ispudingi-energetiku-atlyginimai-virs-20-tukst-euru-kas-is-ju-uzdirba-daugiausia-n1187466</t>
  </si>
  <si>
    <t xml:space="preserve">Reservolt UAB, UAB Energy Advice, UAB Bio Energy Trade</t>
  </si>
  <si>
    <t xml:space="preserve">Small energy brokers and traders</t>
  </si>
  <si>
    <t xml:space="preserve">Scale, roles and pay unverified; screen via the VERT supply licence list and GET Baltic participants before considering.</t>
  </si>
  <si>
    <t xml:space="preserve">https://okredo.com/en-lt/companies/electricity-gas-steam-and-air-conditioning-supply</t>
  </si>
  <si>
    <t xml:space="preserve">Amber Grid</t>
  </si>
  <si>
    <t xml:space="preserve">Gas TSO</t>
  </si>
  <si>
    <t xml:space="preserve">Network operator (co-owns GET Baltic), not a trader.</t>
  </si>
  <si>
    <t xml:space="preserve">https://en.wikipedia.org/wiki/Amber_Grid</t>
  </si>
  <si>
    <t xml:space="preserve">TLC Logistics &amp; Chartering; Birių krovinių terminalas (BKT)</t>
  </si>
  <si>
    <t xml:space="preserve">Shipping / stevedoring</t>
  </si>
  <si>
    <t xml:space="preserve">Chartering and bulk stevedoring; BKT has had Belaruskali as a minority owner (status unverified).</t>
  </si>
  <si>
    <t xml:space="preserve">https://en.cfts.org.ua/news/one_of_klaipeda_ports_largest_stevedores_offers_its_capacity_for_shipment_of_ukrainian_grain</t>
  </si>
  <si>
    <t xml:space="preserve">Enterprise Investors</t>
  </si>
  <si>
    <t xml:space="preserve">CEE private equity</t>
  </si>
  <si>
    <t xml:space="preserve">Offices in Warsaw, Bratislava, Bucharest, Prague, Zagreb and New York only.</t>
  </si>
  <si>
    <t xml:space="preserve">https://www.linkedin.com/company/enterprise-investors</t>
  </si>
  <si>
    <t xml:space="preserve">MidEuropa</t>
  </si>
  <si>
    <t xml:space="preserve">Active Lithuanian investor (Pigu, MBL Group) but staffs deals from Warsaw/London.</t>
  </si>
  <si>
    <t xml:space="preserve">https://en.wikipedia.org/wiki/Mid_Europa_Partners</t>
  </si>
  <si>
    <t xml:space="preserve">MCI.Euroventures</t>
  </si>
  <si>
    <t xml:space="preserve">Co-investor in Pigu only.</t>
  </si>
  <si>
    <t xml:space="preserve">https://mci.pl/en/mci-euroventures-coinvests-with-mid-europa-partners-in-the-baltics-e-commerce-consolidation</t>
  </si>
  <si>
    <t xml:space="preserve">Abris, Resource Partners</t>
  </si>
  <si>
    <t xml:space="preserve">No Lithuanian office or 2025 to 2026 Lithuanian deals found.</t>
  </si>
  <si>
    <t xml:space="preserve">Search summary in notes (no URL)</t>
  </si>
  <si>
    <t xml:space="preserve">Provenance Capital</t>
  </si>
  <si>
    <t xml:space="preserve">Private equity (named in brief)</t>
  </si>
  <si>
    <t xml:space="preserve">No Lithuanian PE firm of that name; hits were US or unrelated.</t>
  </si>
  <si>
    <t xml:space="preserve">https://www.provenancecp.com/</t>
  </si>
  <si>
    <t xml:space="preserve">Mezzanine Management (Vienna)</t>
  </si>
  <si>
    <t xml:space="preserve">Mezzanine</t>
  </si>
  <si>
    <t xml:space="preserve">No Baltic page found.</t>
  </si>
  <si>
    <t xml:space="preserve">BPM Capital</t>
  </si>
  <si>
    <t xml:space="preserve">Offices in Tallinn and Warsaw only (financed Digital Mind's buyout of Alna).</t>
  </si>
  <si>
    <t xml:space="preserve">https://bpmcapital.eu/bpm-mezzanine-fund-ii-held-the-first-close-to-invest-in-mezzanine-debt-in-the-baltic-and-polish-growth-companies/</t>
  </si>
  <si>
    <t xml:space="preserve">CVI</t>
  </si>
  <si>
    <t xml:space="preserve">Polish private debt</t>
  </si>
  <si>
    <t xml:space="preserve">Represented in the Baltics by a senior adviser, not an office.</t>
  </si>
  <si>
    <t xml:space="preserve">https://cvi.pl/en/news/cvi-appoints-arturas-vilkas-as-baltic-region-representative/</t>
  </si>
  <si>
    <t xml:space="preserve">Change Ventures</t>
  </si>
  <si>
    <t xml:space="preserve">Venture capital</t>
  </si>
  <si>
    <t xml:space="preserve">HQ Tallinn; a Lithuanian associate was announced 5 to 6 years ago.</t>
  </si>
  <si>
    <t xml:space="preserve">https://changeventures.medium.com/introducing-our-lithuanian-associate-gabriel%C4%97-poteli%C5%ABnait%C4%97-3c130722bf9f</t>
  </si>
  <si>
    <t xml:space="preserve">Superangel; Notion</t>
  </si>
  <si>
    <t xml:space="preserve">Superangel is Estonian with no Vilnius partner; no Lithuanian link found for Notion.</t>
  </si>
  <si>
    <t xml:space="preserve">https://tracxn.com/d/venture-capital/superangel/__nmg2oA4qahyROAydYtICpGm0FHoH6vFKI0jcJ1ZIkK8</t>
  </si>
  <si>
    <t xml:space="preserve">Lewben Investment Management</t>
  </si>
  <si>
    <t xml:space="preserve">Hedge and real estate funds, family office</t>
  </si>
  <si>
    <t xml:space="preserve">Status unclear</t>
  </si>
  <si>
    <t xml:space="preserve">PitchBook describes the group in the past tense and its LinkedIn page now shows BRAITIN Investments; verify before approaching.</t>
  </si>
  <si>
    <t xml:space="preserve">https://pitchbook.com/profiles/limited-partner/59042-17</t>
  </si>
  <si>
    <t xml:space="preserve">Finasta</t>
  </si>
  <si>
    <t xml:space="preserve">Brokerage / asset management</t>
  </si>
  <si>
    <t xml:space="preserve">Exited (brand)</t>
  </si>
  <si>
    <t xml:space="preserve">Acquired by Šiaulių bankas years ago; brand no longer active (not verified).</t>
  </si>
  <si>
    <t xml:space="preserve">Baltic Horizon Fund management company</t>
  </si>
  <si>
    <t xml:space="preserve">Real estate AIFM</t>
  </si>
  <si>
    <t xml:space="preserve">Moved abroad</t>
  </si>
  <si>
    <t xml:space="preserve">Sold by Northern Horizon in 2025; AIFM is now Baltic Horizon Capital AS in Tallinn.</t>
  </si>
  <si>
    <t xml:space="preserve">https://www.baltichorizon.com/management-company/</t>
  </si>
  <si>
    <t xml:space="preserve">Sun Investment Group</t>
  </si>
  <si>
    <t xml:space="preserve">Renewables</t>
  </si>
  <si>
    <t xml:space="preserve">No detail found.</t>
  </si>
  <si>
    <t xml:space="preserve">Aria Securities; Žabolis ir partneriai kapitalo valdymas</t>
  </si>
  <si>
    <t xml:space="preserve">Licensed AIFMs</t>
  </si>
  <si>
    <t xml:space="preserve">Licensed managers (Aria in Mar 2026) with unknown scope, team and pay; check the Bank of Lithuania register.</t>
  </si>
  <si>
    <t xml:space="preserve">https://www.lb.lt/lt/frd-licencijos</t>
  </si>
  <si>
    <t xml:space="preserve">Darnu Group, Hanner</t>
  </si>
  <si>
    <t xml:space="preserve">Real estate developers</t>
  </si>
  <si>
    <t xml:space="preserve">Named as developers with possible investment functions; no investment hiring data found.</t>
  </si>
  <si>
    <t xml:space="preserve">Redgate Capital</t>
  </si>
  <si>
    <t xml:space="preserve">Corporate finance boutique</t>
  </si>
  <si>
    <t xml:space="preserve">HQ Tallinn with a Riga office.</t>
  </si>
  <si>
    <t xml:space="preserve">https://privateequityinfo.com/directory/investment-bank/redgate-capital</t>
  </si>
  <si>
    <t xml:space="preserve">Catella Corporate Finance</t>
  </si>
  <si>
    <t xml:space="preserve">No Lithuanian activity</t>
  </si>
  <si>
    <t xml:space="preserve">Nordic, Finnish and French activity only.</t>
  </si>
  <si>
    <t xml:space="preserve">https://www.catella.com/en/finland/corporate-finance/investments-sales-and-acquisitions</t>
  </si>
  <si>
    <t xml:space="preserve">Prudentia, Avant Advisory, Fortuna; Alantra, Clearwater</t>
  </si>
  <si>
    <t xml:space="preserve">M&amp;A boutiques</t>
  </si>
  <si>
    <t xml:space="preserve">No evidence of Lithuanian or Baltic presence.</t>
  </si>
  <si>
    <t xml:space="preserve">BDO Lietuva, Forvis Mazars Lithuania</t>
  </si>
  <si>
    <t xml:space="preserve">Mid-tier audit/advisory</t>
  </si>
  <si>
    <t xml:space="preserve">No search results on deal or valuation practices.</t>
  </si>
  <si>
    <t xml:space="preserve">McKinsey, BCG, Bain, Kearney, Roland Berger</t>
  </si>
  <si>
    <t xml:space="preserve">Strategy consulting (MBB and peers)</t>
  </si>
  <si>
    <t xml:space="preserve">No Vilnius office</t>
  </si>
  <si>
    <t xml:space="preserve">No Vilnius office found; the 'BCG' Vilnius hit was Baltic Classifieds Group PLC. Route is via Warsaw or Nordic offices.</t>
  </si>
  <si>
    <t xml:space="preserve">https://www.mckinsey.com/locations</t>
  </si>
  <si>
    <t xml:space="preserve">Miltton New Nordics</t>
  </si>
  <si>
    <t xml:space="preserve">Communications/strategy consulting</t>
  </si>
  <si>
    <t xml:space="preserve">Core team in Tallinn; not a finance employer.</t>
  </si>
  <si>
    <t xml:space="preserve">https://outsorcy.com/companies/miltton</t>
  </si>
  <si>
    <t xml:space="preserve">Goldman Sachs, Morgan Stanley, MSCI, Mercer, Allianz Technology, Euronet, Societe Generale</t>
  </si>
  <si>
    <t xml:space="preserve">Global financial firms</t>
  </si>
  <si>
    <t xml:space="preserve">No verified Lithuanian finance team</t>
  </si>
  <si>
    <t xml:space="preserve">No 2026 evidence of finance teams in Lithuania.</t>
  </si>
  <si>
    <t xml:space="preserve">ERGO, Compensa, Gjensidige, BTA, PZU Lietuva</t>
  </si>
  <si>
    <t xml:space="preserve">Insurers</t>
  </si>
  <si>
    <t xml:space="preserve">No local investment team</t>
  </si>
  <si>
    <t xml:space="preserve">Portfolios appear managed at group level; no investment roles found.</t>
  </si>
  <si>
    <t xml:space="preserve">https://www.glassdoor.com/Explore/top-Insurance-companies-Vilnius-Lithuania_IS.4,13_ISEC10014_IL.24,41_IM1551.htm</t>
  </si>
  <si>
    <t xml:space="preserve">Telia GBS, Metso finance hub, Dexcom GBS, BMI Group</t>
  </si>
  <si>
    <t xml:space="preserve">Corporate GBS centres</t>
  </si>
  <si>
    <t xml:space="preserve">Back office</t>
  </si>
  <si>
    <t xml:space="preserve">Shared-service finance and operations, not high-value finance roles.</t>
  </si>
  <si>
    <t xml:space="preserve">https://investlithuania.com/blog/why-lithuania-is-emerging-as-a-gbs-and-outsourcing-hub-in-europe/</t>
  </si>
  <si>
    <t xml:space="preserve">Girteka</t>
  </si>
  <si>
    <t xml:space="preserve">Logistics group</t>
  </si>
  <si>
    <t xml:space="preserve">No 2026 finance or corporate development hiring found.</t>
  </si>
  <si>
    <t xml:space="preserve">https://en.wikipedia.org/wiki/Girteka</t>
  </si>
  <si>
    <t xml:space="preserve">Invest Lithuania</t>
  </si>
  <si>
    <t xml:space="preserve">Government FDI agency</t>
  </si>
  <si>
    <t xml:space="preserve">Not an investing role</t>
  </si>
  <si>
    <t xml:space="preserve">Investment promotion, not investing.</t>
  </si>
  <si>
    <t xml:space="preserve">https://www.glassdoor.com/Salary/Invest-Lithuania-Vilnius-Salaries-EI_IE1374119.0,16_IL.17,24_IM1551.htm</t>
  </si>
  <si>
    <t xml:space="preserve">ECB; EBRD</t>
  </si>
  <si>
    <t xml:space="preserve">International institutions</t>
  </si>
  <si>
    <t xml:space="preserve">ECB roles are in Frankfurt (traineeship listed on Networking and paths); no EBRD Vilnius office confirmed.</t>
  </si>
  <si>
    <t xml:space="preserve">https://www.ecb.europa.eu/careers/pdf/traineeship_programme.pdf</t>
  </si>
  <si>
    <t xml:space="preserve">Palantir Lithuania, Talech Lithuania, VMware branch, Live Nation Lietuva</t>
  </si>
  <si>
    <t xml:space="preserve">Non-finance top Sodra payers</t>
  </si>
  <si>
    <t xml:space="preserve">Not finance; unreliable signal</t>
  </si>
  <si>
    <t xml:space="preserve">Top national Sodra averages come from tiny non-finance units (e.g. Talech about EUR 117k in one month); shows how volatile small-headcount averages are.</t>
  </si>
  <si>
    <t xml:space="preserve">Topic</t>
  </si>
  <si>
    <t xml:space="preserve">Detail</t>
  </si>
  <si>
    <t xml:space="preserve">Purpose</t>
  </si>
  <si>
    <t xml:space="preserve">Ranks Lithuanian high-finance employers for a Lithuanian MSc International Finance student at HEC Paris (early career, returning to Lithuania) who targets the highest-paying, most prestigious roles. Built only from the research notes in research_notes/Lithuania high finance employers (research date 9 Oct 2026). No new web research was done for this workbook.</t>
  </si>
  <si>
    <t xml:space="preserve">Unit of analysis</t>
  </si>
  <si>
    <t xml:space="preserve">One row per employer or distinct business unit with a different seat type (e.g. Ignitis trading versus Ignitis corporate finance; SEB CIB versus SEB model validation; INVL PE, INVL renewables and INVL private debt). Excluded firms are on the Excluded sheet.</t>
  </si>
  <si>
    <t xml:space="preserve">Weighted total = (Pay x w1 + Prestige x w2 + Fit x w3 + Accessibility x w4 + Opportunities x w5) / sum of weights. Defaults: Pay 25%, Prestige 25%, Fit 20%, Accessibility 15%, Opportunities 15%. Rank = RANK of the total. Tier A at or above 6.5, Tier B at or above 5.0, otherwise C (editable on Weights).</t>
  </si>
  <si>
    <t xml:space="preserve">Anchored on realistic early-career pay. 10: advertised base of EUR 5,000+ (VNT 5,000 to 10,000). 9: entity average about EUR 6,000+ across 40+ staff with profit share (Humbility). 8: credible expected pay well above EUR 4,000 for a junior (Covalis, inferred). 7: junior or analyst ads about EUR 3,000 to 5,000 (Ignitis trading, Vinted, Revolut) or a 36-person entity averaging over EUR 6,000 (Lords LB). 6: ads about EUR 2,700 to 4,000 or small-entity averages of EUR 4,500 to 5,700 that include partners. 5: ads about EUR 2,000 to 3,100 or averages about EUR 3,300 to 4,000. 4: entry about EUR 1,150 to 2,500 rising to about EUR 4,000 at senior level, or unknown pay at a mid-sized employer. 3: entry or average below about EUR 2,500. 2: low-paid operations. Entity averages were discounted where partners or executives skew them; firms with no data were scored by peer inference and given lower confidence.</t>
  </si>
  <si>
    <t xml:space="preserve">Global brand, investment-side seniority of the Vilnius work, and selectivity. 9: global hedge fund with investment staff in Vilnius (Covalis). 8: leading Baltic PE and infrastructure houses (INVL PE, BaltCap, Livonia) and the EIB. 7: top M&amp;A boutique (Oaklins), selective quant/prop firms (Humbility, VNT), Ignitis trading, top VC (Contrarian, Practica), Bank of Lithuania, INVL fund teams. 6: Big 4 deals, bank CIB and treasury, Revolut, Nasdaq, Vinted, Ignitis corporate finance, Lords LB. 5: mid-sized managers, bank quant hubs, consulting, smaller VCs. 3 to 4: small or opaque managers, corporates without investment teams. 2: back-office hubs.</t>
  </si>
  <si>
    <t xml:space="preserve">Relevance of the day-to-day work to a finance master's. 10: buy-side public-equity research. 9: PE, private debt investing, M&amp;A advisory. 8: transaction services, corporate banking and project finance, asset management, treasury, IR, development finance. 7: trading analyst, VC, central bank, FX treasury. 6: quant risk at exchanges, consulting. 5: model validation, energy supply. 4: pure software or signal-processing quant roles (Humbility, VNT), ratings back office. 2 to 3: operations, compliance, fund administration.</t>
  </si>
  <si>
    <t xml:space="preserve">Number of seats and whether fresh graduates are hired. 9: structured graduate programme with many seats (Danske FuturePros). 8: Big 4 intakes and large operations hubs. 7: Bank of Lithuania internships, Swedbank trainee programme, other large employers with junior ads. 5 to 6: mid-size employers with occasional junior or analyst ads (INVL, Ignitis, SEB). 3 to 4: small teams that occasionally hire analysts. 1 to 2: a handful of seats, no ads, experience normally required (Covalis, Livonia, VNT, holdings).</t>
  </si>
  <si>
    <t xml:space="preserve">Skill build and the doors the role opens. 9: global buy-side (Covalis). 8: PE deal teams, M&amp;A boutiques, Big 4 deals (classic exits to PE and corporate development). 7: trading desks, quant firms, VC, central bank, bank CIB, international bank treasury. 6: asset management subsidiaries, quant risk, corporate finance at large corporates. 4 to 5: niche managers, holdings, supply companies. 2 to 3: back office.</t>
  </si>
  <si>
    <t xml:space="preserve">High: Lithuanian presence confirmed plus entity pay data and/or salary-bearing job ads from multiple sources. Medium: presence confirmed but pay, team size or hiring channel partly inferred. Low: presence plausible from the notes, little or no role or pay evidence.</t>
  </si>
  <si>
    <t xml:space="preserve">Main data caveat</t>
  </si>
  <si>
    <t xml:space="preserve">Direct Lithuanian sources (rekvizitai.vz.lt, atvira.sodra.lt, lb.lt, Registrų centras, cvbankas.lt and others) were blocked by the research environment's proxy. Most figures therefore come from search-engine summaries of Sodra-based aggregators (okredo, tax.lt, scoris.lt, info.lt, 1551.lt, 4w.lt, lovejob.lt, rekvi.lt, fsaskaita.lt) and of job boards, not from full page reads. Aggregators disagree by month and method. Treat all figures as indicative and verify before relying on them.</t>
  </si>
  <si>
    <t xml:space="preserve">Entity averages include partners</t>
  </si>
  <si>
    <t xml:space="preserve">Sodra-based averages are gross monthly pay across all insured staff of the legal entity, including partners, directors and back office. In small firms (under about 15 staff) they are dominated by senior pay and swing heavily in bonus or carry months (e.g. Practica about EUR 4,300 to 12,000; Humbility spike about EUR 40,300). Junior pay at PE, VC and real estate boutiques is probably EUR 2,000 to 3,500 gross, in line with job ads. Some firms (Covalis, Livonia) have no Lithuanian entity, so no Sodra data exists.</t>
  </si>
  <si>
    <t xml:space="preserve">Gross versus net</t>
  </si>
  <si>
    <t xml:space="preserve">All pay is EUR gross per month unless marked NET. Lithuanian job ads must state pay but use both bases: 'neatskaičius mokesčių' is gross, 'į rankas' is net. Gross is roughly 1.6x net at average wages (EUR 2,480 gross versus EUR 1,514 net, Q4 2025).</t>
  </si>
  <si>
    <t xml:space="preserve">National benchmarks</t>
  </si>
  <si>
    <t xml:space="preserve">National average gross wage about EUR 2,628 (Q2 and Aug 2026); 2026 official VDU EUR 2,312.15; minimum wage EUR 1,153 (2026); finance and insurance sector average about EUR 3,000 to 4,000 gross (2025).</t>
  </si>
  <si>
    <t xml:space="preserve">Ignitis pay figure</t>
  </si>
  <si>
    <t xml:space="preserve">The Ignitis entity pay figure is the group Sodra median reported by the press (EUR 5,802, Jul 2026), not an average, and not trading-specific. Ignitis company codes in the notes were from memory and are unverified.</t>
  </si>
  <si>
    <t xml:space="preserve">Next verification steps (1)</t>
  </si>
  <si>
    <t xml:space="preserve">rekvizitai.vz.lt: confirm company codes, headcount, monthly average pay and shareholders for each ranked entity, especially Alpha Advisors (Oaklins), PwC, EY, Deloitte, Ignitis entities, Artea, Luminor, Citadele, Robinhood Europe.</t>
  </si>
  <si>
    <t xml:space="preserve">Next verification steps (2)</t>
  </si>
  <si>
    <t xml:space="preserve">atvira.sodra.lt: pull monthly per-employer insured headcount and average wage; run the script raw/sodra_filter_finance.py in the notes folder on the monthly CSV/ZIP (usage: python -I sodra_filter_finance.py monthly-2026.csv.zip 5000). It filters EVRK 64, 65, 66, 70.22, 46.12 and 35.14 at an average wage of EUR 5,000+. Its download URL pattern is unverified; take the current link from https://atvira.sodra.lt/imones/rinkiniai/index.html. Also screen NACE 62.10 for hidden trading firms (Humbility and VNT register as programming).</t>
  </si>
  <si>
    <t xml:space="preserve">Next verification steps (3)</t>
  </si>
  <si>
    <t xml:space="preserve">Registrų centras (JAR): find entities linked to Zach Mecelis or Covalis, Livonia Partners' Lithuanian vehicle, and the ownership of small high-paying entities. Bank of Lithuania registers: retrieve the full UCITS and AIFM management company lists.</t>
  </si>
  <si>
    <t xml:space="preserve">Next verification steps (4)</t>
  </si>
  <si>
    <t xml:space="preserve">LinkedIn: filter company People pages to Vilnius for Covalis, BaltCap, Livonia, Oaklins, Superia and INVL to size investment teams and identify alumni for referrals; scrape cvbankas.lt for 'investicijų analitikas', 'M&amp;A', 'corporate finance' and 'deals' ads to get current salary ranges.</t>
  </si>
  <si>
    <t xml:space="preserve">Open questions</t>
  </si>
  <si>
    <t xml:space="preserve">Status of the EPPO BaltCap case; whether Covalis hires graduates in Vilnius; Livonia Fund III and INVL bank fund closes (likely junior hiring triggers); Luminor integration under OTP; Ignitis per-role experience requirements; existence of other hidden hedge-fund research teams in Vilnius.</t>
  </si>
  <si>
    <t xml:space="preserve">Style</t>
  </si>
  <si>
    <t xml:space="preserve">Pay ranges are written with 'to'. Scores are inputs (blue text) and can be overridden; totals, ranks and tiers are formulas.</t>
  </si>
  <si>
    <t xml:space="preserve">Channel / programme</t>
  </si>
  <si>
    <t xml:space="preserve">Type</t>
  </si>
  <si>
    <t xml:space="preserve">What it is and why it matters</t>
  </si>
  <si>
    <t xml:space="preserve">Timing, eligibility and pay</t>
  </si>
  <si>
    <t xml:space="preserve">How to use it</t>
  </si>
  <si>
    <t xml:space="preserve">Global Lithuanian Leaders (GLL)</t>
  </si>
  <si>
    <t xml:space="preserve">Diaspora professional network</t>
  </si>
  <si>
    <t xml:space="preserve">10,000+ global Lithuanian professionals in 60+ countries and 28 clubs; best broad door into Lithuanian business and finance leaders.</t>
  </si>
  <si>
    <t xml:space="preserve">GLL Forum held 30 Jul 2026 in Vilnius; GLL Awards on 21 Dec 2026.</t>
  </si>
  <si>
    <t xml:space="preserve">Join a club (Paris), attend the Forum and Awards, ask for introductions to INVL, BaltCap, Oaklins and Ignitis people.</t>
  </si>
  <si>
    <t xml:space="preserve">https://lithuanianleaders.org/</t>
  </si>
  <si>
    <t xml:space="preserve">LT Big Brother (run with GLL)</t>
  </si>
  <si>
    <t xml:space="preserve">Mentoring programme</t>
  </si>
  <si>
    <t xml:space="preserve">Pairs established Lithuanian professionals with students and early-career people; started in London in 2009; six regions incl. Lithuania, UK and Benelux (self-reported).</t>
  </si>
  <si>
    <t xml:space="preserve">Check ltbigbrother.com for the intake calendar (site not fetched).</t>
  </si>
  <si>
    <t xml:space="preserve">Request a mentor in PE, hedge funds or M&amp;A.</t>
  </si>
  <si>
    <t xml:space="preserve">https://lt.linkedin.com/in/jonas-kimontas</t>
  </si>
  <si>
    <t xml:space="preserve">Kurk Lietuvai (Create Lithuania)</t>
  </si>
  <si>
    <t xml:space="preserve">Government programme</t>
  </si>
  <si>
    <t xml:space="preserve">One-year public-sector project placements for professionals with foreign experience; builds ties with Ministry of Finance, Invest Lithuania and Bank of Lithuania circles.</t>
  </si>
  <si>
    <t xml:space="preserve">2026 cycle results presented 8 Sep 2026; public-sector pay.</t>
  </si>
  <si>
    <t xml:space="preserve">Networking and visibility route rather than a high-pay entry.</t>
  </si>
  <si>
    <t xml:space="preserve">https://www.kurklt.lt/en</t>
  </si>
  <si>
    <t xml:space="preserve">Bank of Lithuania internships</t>
  </si>
  <si>
    <t xml:space="preserve">Internship</t>
  </si>
  <si>
    <t xml:space="preserve">Paid 2 to 3 month internships (2 to 6 per another listing) in market operations, financial stability and supervision; open to master's students.</t>
  </si>
  <si>
    <t xml:space="preserve">About EUR 1,160 gross per month (2026 example); summer internships advertised in spring (example deadline 28 Apr 2026).</t>
  </si>
  <si>
    <t xml:space="preserve">Apply via karjera.lb.lt or send a CV to karjera@lb.lt.</t>
  </si>
  <si>
    <t xml:space="preserve">Danske Bank FuturePros</t>
  </si>
  <si>
    <t xml:space="preserve">Graduate programme</t>
  </si>
  <si>
    <t xml:space="preserve">Paid one-year career start programme, no prior experience needed; 80% continue at Danske Lithuania. Historic Danske Graduate: 18 months, three 6-month rotations, possibly one in Scandinavia.</t>
  </si>
  <si>
    <t xml:space="preserve">Autumn 2026 round ran 1 to 13 Sep (closed); must study or reside in Lithuania.</t>
  </si>
  <si>
    <t xml:space="preserve">Target the next round; aim for risk, model validation or treasury rotations.</t>
  </si>
  <si>
    <t xml:space="preserve">Swedbank Analyst Development Trainee Programme</t>
  </si>
  <si>
    <t xml:space="preserve">About 10 months of rotations; about 200 trainees a year group-wide (mostly IT and Data, Finance and Analysis); one alumnus became a Group Treasury analyst.</t>
  </si>
  <si>
    <t xml:space="preserve">Group and Stockholm oriented; timing not confirmed in notes.</t>
  </si>
  <si>
    <t xml:space="preserve">Apply via swedbank.com students and graduates; also junior Private Financial Advice roles in Vilnius.</t>
  </si>
  <si>
    <t xml:space="preserve">SEB Tech Trainee Programme and SEB junior quant roles</t>
  </si>
  <si>
    <t xml:space="preserve">Graduate programme / junior roles</t>
  </si>
  <si>
    <t xml:space="preserve">Tech programme: 6 months from September, up to 20 trainees, graduates within 2 years (tech only). Better finance entry: Junior Quantitative Data Analyst in Credit Risk Model Validation (EUR 2,700 to 3,900).</t>
  </si>
  <si>
    <t xml:space="preserve">2026/27 Vilnius tech intake posted Jun 2026; junior quant ad valid to Dec 2026 per one listing.</t>
  </si>
  <si>
    <t xml:space="preserve">Use SEB careers; for CIB, Client Analyst roles in Corporate Banking.</t>
  </si>
  <si>
    <t xml:space="preserve">https://sebgroup.com/career/graduates-and-students/tech-trainee-programme</t>
  </si>
  <si>
    <t xml:space="preserve">Ignitis Young Talents and internships</t>
  </si>
  <si>
    <t xml:space="preserve">Internships / trainee roles</t>
  </si>
  <si>
    <t xml:space="preserve">Group Treasury, IR and FP&amp;A teams named on the young talents page; FP&amp;A trainee ads; Ignitis Renewables young talents page.</t>
  </si>
  <si>
    <t xml:space="preserve">FP&amp;A trainee EUR 1,240 to 1,860; a 2026 legal internship paid about EUR 650 to 950.</t>
  </si>
  <si>
    <t xml:space="preserve">Enter via trainee or analyst roles, then move toward trading, treasury or M&amp;A.</t>
  </si>
  <si>
    <t xml:space="preserve">Big 4 internships and trainee intakes (PwC, KPMG, EY, Deloitte)</t>
  </si>
  <si>
    <t xml:space="preserve">Internships / graduate intakes</t>
  </si>
  <si>
    <t xml:space="preserve">Largest structured entry into deals work in Vilnius; classic springboard to PE (BaltCap and Livonia associates often come from Big 4 TS or IB).</t>
  </si>
  <si>
    <t xml:space="preserve">KPMG interns from EUR 1,153 to 1,245; EY junior S&amp;T from EUR 1,400; hiring follows the academic calendar (no deals-specific programme confirmed).</t>
  </si>
  <si>
    <t xml:space="preserve">Apply directly to Deals / Deal Advisory / S&amp;T teams.</t>
  </si>
  <si>
    <t xml:space="preserve">https://www.cvbankas.lt/intern-in-advisory-sales-vilniuje/1-14124490</t>
  </si>
  <si>
    <t xml:space="preserve">ECB traineeships</t>
  </si>
  <si>
    <t xml:space="preserve">International traineeship</t>
  </si>
  <si>
    <t xml:space="preserve">3 to 6 months (extendable), open to EU nationals; Banking Supervision traineeships.</t>
  </si>
  <si>
    <t xml:space="preserve">Grant EUR 1,170 to 2,120 per month; Frankfurt.</t>
  </si>
  <si>
    <t xml:space="preserve">High-signal step before Bank of Lithuania or supervision roles.</t>
  </si>
  <si>
    <t xml:space="preserve">LT VCA (Lithuanian Private Equity and Venture Capital Association)</t>
  </si>
  <si>
    <t xml:space="preserve">Industry association</t>
  </si>
  <si>
    <t xml:space="preserve">64 members, 243 portfolio companies, EUR 3bn AUM; co-founded in 2009 by BaltCap, LitCapital and SEB Venture Capital; runs events and a YouTube channel.</t>
  </si>
  <si>
    <t xml:space="preserve">Ongoing events.</t>
  </si>
  <si>
    <t xml:space="preserve">Best channel to meet PE and VC partners (INVL, BaltCap, Livonia, Practica, Contrarian).</t>
  </si>
  <si>
    <t xml:space="preserve">https://www.vca.lt/</t>
  </si>
  <si>
    <t xml:space="preserve">ILTE news pages and new fund managers</t>
  </si>
  <si>
    <t xml:space="preserve">Job channel</t>
  </si>
  <si>
    <t xml:space="preserve">ILTE posts roles at its VC vehicles (e.g. Coinvest Investment Manager). New ILTE-backed managers form in 2026 to 2027 (MILInvest 2 defence funds EUR 40m, Akceleratorius 3 EUR 18.6m).</t>
  </si>
  <si>
    <t xml:space="preserve">MILInvest 2 call opened 7 May 2026.</t>
  </si>
  <si>
    <t xml:space="preserve">Spin-up teams are a realistic entry point into VC.</t>
  </si>
  <si>
    <t xml:space="preserve">https://ilte.lt/rizikos-kapitalas/525</t>
  </si>
  <si>
    <t xml:space="preserve">Baltic Private Debt Forum (Vilnius)</t>
  </si>
  <si>
    <t xml:space="preserve">Industry event</t>
  </si>
  <si>
    <t xml:space="preserve">Meeting point for private debt players (CVI, Nter, INVL).</t>
  </si>
  <si>
    <t xml:space="preserve">Dates not in notes.</t>
  </si>
  <si>
    <t xml:space="preserve">Networking for private credit roles.</t>
  </si>
  <si>
    <t xml:space="preserve">https://cvi.pl/en/news/radoslav-tausinger-at-the-baltic-private-debt-forum-in-vilnius/</t>
  </si>
  <si>
    <t xml:space="preserve">Fund-raise timing (Livonia Fund III, INVL European Banking Opportunities Fund)</t>
  </si>
  <si>
    <t xml:space="preserve">Hiring trigger</t>
  </si>
  <si>
    <t xml:space="preserve">Teams usually add junior capacity after a first close.</t>
  </si>
  <si>
    <t xml:space="preserve">Livonia Fund III first close in preparation (2026); INVL bank fund first close targeted by end-2026.</t>
  </si>
  <si>
    <t xml:space="preserve">Approach partners around first closes.</t>
  </si>
  <si>
    <t xml:space="preserve">https://www.globenewswire.com/news-release/2026/10/09/3377823/0/en/a-new-invl-fund-of-up-to-eur-200-million-will-invest-in-central-and-eastern-european-banks.html</t>
  </si>
  <si>
    <t xml:space="preserve">Direct outreach to Covalis Vilnius analysts</t>
  </si>
  <si>
    <t xml:space="preserve">Networking route</t>
  </si>
  <si>
    <t xml:space="preserve">Covalis hires quietly; analysts joined in 2021 and 2022 without public ads.</t>
  </si>
  <si>
    <t xml:space="preserve">No timing; no programme.</t>
  </si>
  <si>
    <t xml:space="preserve">LinkedIn outreach to Vilnius analysts, referral, approach via London HQ; a former Covalis analyst now heads financial advisory at Grant Thornton Lithuania (unverified).</t>
  </si>
  <si>
    <t xml:space="preserve">https://www.linkedin.com/in/rokas-jusys-2112471b2/</t>
  </si>
  <si>
    <t xml:space="preserve">Quant and prop firm channels</t>
  </si>
  <si>
    <t xml:space="preserve">Humbility and VNT recruit via own sites, LinkedIn, MeetFrank and quant boards (Tradermath, QuantRoles); no finance experience required but strong maths and coding needed.</t>
  </si>
  <si>
    <t xml:space="preserve">Rolling.</t>
  </si>
  <si>
    <t xml:space="preserve">Prepare for coding and probability interviews; olympiad or PhD profiles favoured.</t>
  </si>
  <si>
    <t xml:space="preserve">https://www.tradermath.org/firms/humbility</t>
  </si>
  <si>
    <t xml:space="preserve">Job boards</t>
  </si>
  <si>
    <t xml:space="preserve">cvbankas.lt (pay ranges legally required), cvonline.lt, cv.lt, MeetFrank, LinkedIn, Built In, Work in Lithuania, jobsinforex, VentureCapitalCareers (about 10 VC analyst roles listed around Vilnius).</t>
  </si>
  <si>
    <t xml:space="preserve">Rolling; check gross versus net basis.</t>
  </si>
  <si>
    <t xml:space="preserve">Set alerts for 'investicijų analitikas', 'M&amp;A', 'corporate finance', 'deals', 'treasury'.</t>
  </si>
  <si>
    <t xml:space="preserve">https://www.cvbankas.lt/skelbimai-su-atlyginimais</t>
  </si>
  <si>
    <t xml:space="preserve">HEC Paris and Baltic Management Institute link</t>
  </si>
  <si>
    <t xml:space="preserve">Alumni network</t>
  </si>
  <si>
    <t xml:space="preserve">HEC Paris is part of the Baltic Management Institute EMBA consortium with Vytautas Magnus University; useful for alumni contacts, not MSc recruiting.</t>
  </si>
  <si>
    <t xml:space="preserve">Use HEC alumni directory for Lithuanian alumni in finance.</t>
  </si>
  <si>
    <t xml:space="preserve">https://lt.linkedin.com/in/karolinakapustinskaite</t>
  </si>
  <si>
    <t xml:space="preserve">Abroad-first path</t>
  </si>
  <si>
    <t xml:space="preserve">Career strategy</t>
  </si>
  <si>
    <t xml:space="preserve">Lithuanian pay and deal flow are regionally capped; MBB has no Vilnius office and global HFT/hedge funds have no Vilnius teams. Common path: start in London, Paris, Warsaw or the Nordics (IB, MBB, energy desks such as Statkraft, Axpo, Danske Commodities) and return at a senior level. Gravity Team in Riga is a nearby crypto market-maker option.</t>
  </si>
  <si>
    <t xml:space="preserve">Keep Lithuanian network warm through GLL and LT VCA while abroad.</t>
  </si>
</sst>
</file>

<file path=xl/styles.xml><?xml version="1.0" encoding="utf-8"?>
<styleSheet xmlns="http://schemas.openxmlformats.org/spreadsheetml/2006/main">
  <numFmts count="5">
    <numFmt numFmtId="164" formatCode="General"/>
    <numFmt numFmtId="165" formatCode="General"/>
    <numFmt numFmtId="166" formatCode="#,##0"/>
    <numFmt numFmtId="167" formatCode="0.0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sz val="10"/>
      <name val="Arial"/>
      <family val="2"/>
    </font>
    <font>
      <sz val="10"/>
      <color theme="1"/>
      <name val="Arial"/>
      <family val="0"/>
      <charset val="1"/>
    </font>
    <font>
      <b val="true"/>
      <sz val="12"/>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4" fillId="2"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6"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6"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63BE7B"/>
          <bgColor rgb="FF000000"/>
        </patternFill>
      </fill>
    </dxf>
    <dxf>
      <fill>
        <patternFill patternType="solid">
          <fgColor rgb="FF73C37C"/>
          <bgColor rgb="FF000000"/>
        </patternFill>
      </fill>
    </dxf>
    <dxf>
      <fill>
        <patternFill patternType="solid">
          <fgColor rgb="FFA0D07F"/>
          <bgColor rgb="FF000000"/>
        </patternFill>
      </fill>
    </dxf>
    <dxf>
      <fill>
        <patternFill patternType="solid">
          <fgColor rgb="FFAAD380"/>
          <bgColor rgb="FF000000"/>
        </patternFill>
      </fill>
    </dxf>
    <dxf>
      <fill>
        <patternFill patternType="solid">
          <fgColor rgb="FFB0D580"/>
          <bgColor rgb="FF000000"/>
        </patternFill>
      </fill>
    </dxf>
    <dxf>
      <fill>
        <patternFill patternType="solid">
          <fgColor rgb="FFBDD881"/>
          <bgColor rgb="FF000000"/>
        </patternFill>
      </fill>
    </dxf>
    <dxf>
      <fill>
        <patternFill patternType="solid">
          <fgColor rgb="FFC3DA81"/>
          <bgColor rgb="FF000000"/>
        </patternFill>
      </fill>
    </dxf>
    <dxf>
      <fill>
        <patternFill patternType="solid">
          <fgColor rgb="FFC6DB81"/>
          <bgColor rgb="FF000000"/>
        </patternFill>
      </fill>
    </dxf>
    <dxf>
      <fill>
        <patternFill patternType="solid">
          <fgColor rgb="FFC9DC81"/>
          <bgColor rgb="FF000000"/>
        </patternFill>
      </fill>
    </dxf>
    <dxf>
      <fill>
        <patternFill patternType="solid">
          <fgColor rgb="FFCDDD82"/>
          <bgColor rgb="FF000000"/>
        </patternFill>
      </fill>
    </dxf>
    <dxf>
      <fill>
        <patternFill patternType="solid">
          <fgColor rgb="FFD0DE82"/>
          <bgColor rgb="FF000000"/>
        </patternFill>
      </fill>
    </dxf>
    <dxf>
      <fill>
        <patternFill patternType="solid">
          <fgColor rgb="FFD3DF82"/>
          <bgColor rgb="FF000000"/>
        </patternFill>
      </fill>
    </dxf>
    <dxf>
      <fill>
        <patternFill patternType="solid">
          <fgColor rgb="FFD9E082"/>
          <bgColor rgb="FF000000"/>
        </patternFill>
      </fill>
    </dxf>
    <dxf>
      <fill>
        <patternFill patternType="solid">
          <fgColor rgb="FFDCE182"/>
          <bgColor rgb="FF000000"/>
        </patternFill>
      </fill>
    </dxf>
    <dxf>
      <fill>
        <patternFill patternType="solid">
          <fgColor rgb="FFE0E283"/>
          <bgColor rgb="FF000000"/>
        </patternFill>
      </fill>
    </dxf>
    <dxf>
      <fill>
        <patternFill patternType="solid">
          <fgColor rgb="FFECE683"/>
          <bgColor rgb="FF000000"/>
        </patternFill>
      </fill>
    </dxf>
    <dxf>
      <fill>
        <patternFill patternType="solid">
          <fgColor rgb="FFF0E784"/>
          <bgColor rgb="FF000000"/>
        </patternFill>
      </fill>
    </dxf>
    <dxf>
      <fill>
        <patternFill patternType="solid">
          <fgColor rgb="FFF3E884"/>
          <bgColor rgb="FF000000"/>
        </patternFill>
      </fill>
    </dxf>
    <dxf>
      <fill>
        <patternFill patternType="solid">
          <fgColor rgb="FFF6E984"/>
          <bgColor rgb="FF000000"/>
        </patternFill>
      </fill>
    </dxf>
    <dxf>
      <fill>
        <patternFill patternType="solid">
          <fgColor rgb="FFF8696B"/>
          <bgColor rgb="FF000000"/>
        </patternFill>
      </fill>
    </dxf>
    <dxf>
      <fill>
        <patternFill patternType="solid">
          <fgColor rgb="FFF97D6E"/>
          <bgColor rgb="FF000000"/>
        </patternFill>
      </fill>
    </dxf>
    <dxf>
      <fill>
        <patternFill patternType="solid">
          <fgColor rgb="FFF98570"/>
          <bgColor rgb="FF000000"/>
        </patternFill>
      </fill>
    </dxf>
    <dxf>
      <fill>
        <patternFill patternType="solid">
          <fgColor rgb="FFF98A71"/>
          <bgColor rgb="FF000000"/>
        </patternFill>
      </fill>
    </dxf>
    <dxf>
      <fill>
        <patternFill patternType="solid">
          <fgColor rgb="FFF98C71"/>
          <bgColor rgb="FF000000"/>
        </patternFill>
      </fill>
    </dxf>
    <dxf>
      <fill>
        <patternFill patternType="solid">
          <fgColor rgb="FFF9EA84"/>
          <bgColor rgb="FF000000"/>
        </patternFill>
      </fill>
    </dxf>
    <dxf>
      <fill>
        <patternFill patternType="solid">
          <fgColor rgb="FFFA8F72"/>
          <bgColor rgb="FF000000"/>
        </patternFill>
      </fill>
    </dxf>
    <dxf>
      <fill>
        <patternFill patternType="solid">
          <fgColor rgb="FFFA9172"/>
          <bgColor rgb="FF000000"/>
        </patternFill>
      </fill>
    </dxf>
    <dxf>
      <fill>
        <patternFill patternType="solid">
          <fgColor rgb="FFFA9473"/>
          <bgColor rgb="FF000000"/>
        </patternFill>
      </fill>
    </dxf>
    <dxf>
      <fill>
        <patternFill patternType="solid">
          <fgColor rgb="FFFA9B74"/>
          <bgColor rgb="FF000000"/>
        </patternFill>
      </fill>
    </dxf>
    <dxf>
      <fill>
        <patternFill patternType="solid">
          <fgColor rgb="FFFA9E75"/>
          <bgColor rgb="FF000000"/>
        </patternFill>
      </fill>
    </dxf>
    <dxf>
      <fill>
        <patternFill patternType="solid">
          <fgColor rgb="FFFBA175"/>
          <bgColor rgb="FF000000"/>
        </patternFill>
      </fill>
    </dxf>
    <dxf>
      <fill>
        <patternFill patternType="solid">
          <fgColor rgb="FFFBA376"/>
          <bgColor rgb="FF000000"/>
        </patternFill>
      </fill>
    </dxf>
    <dxf>
      <fill>
        <patternFill patternType="solid">
          <fgColor rgb="FFFBAB77"/>
          <bgColor rgb="FF000000"/>
        </patternFill>
      </fill>
    </dxf>
    <dxf>
      <fill>
        <patternFill patternType="solid">
          <fgColor rgb="FFFBB078"/>
          <bgColor rgb="FF000000"/>
        </patternFill>
      </fill>
    </dxf>
    <dxf>
      <fill>
        <patternFill patternType="solid">
          <fgColor rgb="FFFCB579"/>
          <bgColor rgb="FF000000"/>
        </patternFill>
      </fill>
    </dxf>
    <dxf>
      <fill>
        <patternFill patternType="solid">
          <fgColor rgb="FFFCB87A"/>
          <bgColor rgb="FF000000"/>
        </patternFill>
      </fill>
    </dxf>
    <dxf>
      <fill>
        <patternFill patternType="solid">
          <fgColor rgb="FFFCBA7A"/>
          <bgColor rgb="FF000000"/>
        </patternFill>
      </fill>
    </dxf>
    <dxf>
      <fill>
        <patternFill patternType="solid">
          <fgColor rgb="FFFCBD7B"/>
          <bgColor rgb="FF000000"/>
        </patternFill>
      </fill>
    </dxf>
    <dxf>
      <fill>
        <patternFill patternType="solid">
          <fgColor rgb="FFFCC47C"/>
          <bgColor rgb="FF000000"/>
        </patternFill>
      </fill>
    </dxf>
    <dxf>
      <fill>
        <patternFill patternType="solid">
          <fgColor rgb="FFFCEB84"/>
          <bgColor rgb="FF000000"/>
        </patternFill>
      </fill>
    </dxf>
    <dxf>
      <fill>
        <patternFill patternType="solid">
          <fgColor rgb="FFFDC77D"/>
          <bgColor rgb="FF000000"/>
        </patternFill>
      </fill>
    </dxf>
    <dxf>
      <fill>
        <patternFill patternType="solid">
          <fgColor rgb="FFFDC97D"/>
          <bgColor rgb="FF000000"/>
        </patternFill>
      </fill>
    </dxf>
    <dxf>
      <fill>
        <patternFill patternType="solid">
          <fgColor rgb="FFFDCC7E"/>
          <bgColor rgb="FF000000"/>
        </patternFill>
      </fill>
    </dxf>
    <dxf>
      <fill>
        <patternFill patternType="solid">
          <fgColor rgb="FFFDD17F"/>
          <bgColor rgb="FF000000"/>
        </patternFill>
      </fill>
    </dxf>
    <dxf>
      <fill>
        <patternFill patternType="solid">
          <fgColor rgb="FFFEDB81"/>
          <bgColor rgb="FF000000"/>
        </patternFill>
      </fill>
    </dxf>
    <dxf>
      <fill>
        <patternFill patternType="solid">
          <fgColor rgb="FFFEE082"/>
          <bgColor rgb="FF000000"/>
        </patternFill>
      </fill>
    </dxf>
    <dxf>
      <fill>
        <patternFill patternType="solid">
          <fgColor rgb="FFFEE382"/>
          <bgColor rgb="FF000000"/>
        </patternFill>
      </fill>
    </dxf>
    <dxf>
      <fill>
        <patternFill patternType="solid">
          <fgColor rgb="FFFEE583"/>
          <bgColor rgb="FF000000"/>
        </patternFill>
      </fill>
    </dxf>
    <dxf>
      <fill>
        <patternFill patternType="solid">
          <fgColor rgb="FFFEE883"/>
          <bgColor rgb="FF000000"/>
        </patternFill>
      </fill>
    </dxf>
    <dxf>
      <fill>
        <patternFill patternType="solid">
          <fgColor rgb="FFFFEB84"/>
          <bgColor rgb="FF000000"/>
        </patternFill>
      </fill>
    </dxf>
    <dxf>
      <fill>
        <patternFill patternType="solid">
          <fgColor rgb="FFC6EFCE"/>
          <bgColor rgb="FF000000"/>
        </patternFill>
      </fill>
    </dxf>
    <dxf>
      <fill>
        <patternFill patternType="solid">
          <fgColor rgb="FFF2DCDB"/>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2DCD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2DCD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24"/>
    <col collapsed="false" customWidth="true" hidden="false" outlineLevel="0" max="4" min="4" style="0" width="18"/>
    <col collapsed="false" customWidth="true" hidden="false" outlineLevel="0" max="5" min="5" style="0" width="30"/>
    <col collapsed="false" customWidth="true" hidden="false" outlineLevel="0" max="6" min="6" style="0" width="24"/>
    <col collapsed="false" customWidth="true" hidden="false" outlineLevel="0" max="7" min="7" style="0" width="34"/>
    <col collapsed="false" customWidth="true" hidden="false" outlineLevel="0" max="8" min="8" style="0" width="40"/>
    <col collapsed="false" customWidth="true" hidden="false" outlineLevel="0" max="9" min="9" style="0" width="14"/>
    <col collapsed="false" customWidth="true" hidden="false" outlineLevel="0" max="10" min="10" style="0" width="30"/>
    <col collapsed="false" customWidth="true" hidden="false" outlineLevel="0" max="13" min="11" style="0" width="9"/>
    <col collapsed="false" customWidth="true" hidden="false" outlineLevel="0" max="15" min="14" style="0" width="11"/>
    <col collapsed="false" customWidth="true" hidden="false" outlineLevel="0" max="16" min="16" style="0" width="10"/>
    <col collapsed="false" customWidth="true" hidden="false" outlineLevel="0" max="17" min="17" style="0" width="6"/>
    <col collapsed="false" customWidth="true" hidden="false" outlineLevel="0" max="18" min="18" style="0" width="40"/>
    <col collapsed="false" customWidth="true" hidden="false" outlineLevel="0" max="19" min="19" style="0" width="60"/>
    <col collapsed="false" customWidth="true" hidden="false" outlineLevel="0" max="20" min="20" style="0" width="11"/>
    <col collapsed="false" customWidth="true" hidden="false" outlineLevel="0" max="21" min="21" style="0" width="45"/>
  </cols>
  <sheetData>
    <row r="1" customFormat="false" ht="54"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46.25" hidden="false" customHeight="false" outlineLevel="0" collapsed="false">
      <c r="A2" s="2" t="n">
        <f aca="false">RANK(P2,$P$2:$P$85,0)</f>
        <v>1</v>
      </c>
      <c r="B2" s="3" t="s">
        <v>21</v>
      </c>
      <c r="C2" s="3" t="s">
        <v>22</v>
      </c>
      <c r="D2" s="3" t="s">
        <v>23</v>
      </c>
      <c r="E2" s="3" t="s">
        <v>24</v>
      </c>
      <c r="F2" s="3" t="s">
        <v>25</v>
      </c>
      <c r="G2" s="3" t="s">
        <v>26</v>
      </c>
      <c r="H2" s="3" t="s">
        <v>27</v>
      </c>
      <c r="I2" s="4"/>
      <c r="J2" s="3" t="s">
        <v>28</v>
      </c>
      <c r="K2" s="5" t="n">
        <v>8</v>
      </c>
      <c r="L2" s="5" t="n">
        <v>9</v>
      </c>
      <c r="M2" s="5" t="n">
        <v>10</v>
      </c>
      <c r="N2" s="5" t="n">
        <v>2</v>
      </c>
      <c r="O2" s="5" t="n">
        <v>9</v>
      </c>
      <c r="P2" s="6" t="n">
        <f aca="false">IF(Weights!$B$7=0,0,ROUND((K2*Weights!$B$2+L2*Weights!$B$3+M2*Weights!$B$4+N2*Weights!$B$5+O2*Weights!$B$6)/Weights!$B$7,2))</f>
        <v>7.9</v>
      </c>
      <c r="Q2" s="7" t="str">
        <f aca="false">IF(P2&gt;=Weights!$B$11,"A",IF(P2&gt;=Weights!$B$12,"B","C"))</f>
        <v>A</v>
      </c>
      <c r="R2" s="3" t="s">
        <v>29</v>
      </c>
      <c r="S2" s="3" t="s">
        <v>30</v>
      </c>
      <c r="T2" s="2" t="s">
        <v>31</v>
      </c>
      <c r="U2" s="3" t="s">
        <v>32</v>
      </c>
    </row>
    <row r="3" customFormat="false" ht="46.25" hidden="false" customHeight="false" outlineLevel="0" collapsed="false">
      <c r="A3" s="2" t="n">
        <f aca="false">RANK(P3,$P$2:$P$85,0)</f>
        <v>2</v>
      </c>
      <c r="B3" s="3" t="s">
        <v>33</v>
      </c>
      <c r="C3" s="3" t="s">
        <v>34</v>
      </c>
      <c r="D3" s="3" t="s">
        <v>35</v>
      </c>
      <c r="E3" s="3" t="s">
        <v>36</v>
      </c>
      <c r="F3" s="3" t="s">
        <v>37</v>
      </c>
      <c r="G3" s="3" t="s">
        <v>38</v>
      </c>
      <c r="H3" s="3" t="s">
        <v>39</v>
      </c>
      <c r="I3" s="4" t="n">
        <v>5120</v>
      </c>
      <c r="J3" s="3" t="s">
        <v>40</v>
      </c>
      <c r="K3" s="5" t="n">
        <v>7</v>
      </c>
      <c r="L3" s="5" t="n">
        <v>8</v>
      </c>
      <c r="M3" s="5" t="n">
        <v>9</v>
      </c>
      <c r="N3" s="5" t="n">
        <v>6</v>
      </c>
      <c r="O3" s="5" t="n">
        <v>8</v>
      </c>
      <c r="P3" s="6" t="n">
        <f aca="false">IF(Weights!$B$7=0,0,ROUND((K3*Weights!$B$2+L3*Weights!$B$3+M3*Weights!$B$4+N3*Weights!$B$5+O3*Weights!$B$6)/Weights!$B$7,2))</f>
        <v>7.65</v>
      </c>
      <c r="Q3" s="7" t="str">
        <f aca="false">IF(P3&gt;=Weights!$B$11,"A",IF(P3&gt;=Weights!$B$12,"B","C"))</f>
        <v>A</v>
      </c>
      <c r="R3" s="3" t="s">
        <v>41</v>
      </c>
      <c r="S3" s="3" t="s">
        <v>42</v>
      </c>
      <c r="T3" s="2" t="s">
        <v>43</v>
      </c>
      <c r="U3" s="3" t="s">
        <v>44</v>
      </c>
    </row>
    <row r="4" customFormat="false" ht="46.25" hidden="false" customHeight="false" outlineLevel="0" collapsed="false">
      <c r="A4" s="2" t="n">
        <f aca="false">RANK(P4,$P$2:$P$85,0)</f>
        <v>3</v>
      </c>
      <c r="B4" s="3" t="s">
        <v>45</v>
      </c>
      <c r="C4" s="3" t="s">
        <v>46</v>
      </c>
      <c r="D4" s="3" t="s">
        <v>47</v>
      </c>
      <c r="E4" s="3" t="s">
        <v>48</v>
      </c>
      <c r="F4" s="3" t="s">
        <v>49</v>
      </c>
      <c r="G4" s="3" t="s">
        <v>50</v>
      </c>
      <c r="H4" s="3" t="s">
        <v>51</v>
      </c>
      <c r="I4" s="4" t="n">
        <v>5646</v>
      </c>
      <c r="J4" s="3" t="s">
        <v>52</v>
      </c>
      <c r="K4" s="5" t="n">
        <v>6</v>
      </c>
      <c r="L4" s="5" t="n">
        <v>8</v>
      </c>
      <c r="M4" s="5" t="n">
        <v>9</v>
      </c>
      <c r="N4" s="5" t="n">
        <v>3</v>
      </c>
      <c r="O4" s="5" t="n">
        <v>8</v>
      </c>
      <c r="P4" s="6" t="n">
        <f aca="false">IF(Weights!$B$7=0,0,ROUND((K4*Weights!$B$2+L4*Weights!$B$3+M4*Weights!$B$4+N4*Weights!$B$5+O4*Weights!$B$6)/Weights!$B$7,2))</f>
        <v>6.95</v>
      </c>
      <c r="Q4" s="7" t="str">
        <f aca="false">IF(P4&gt;=Weights!$B$11,"A",IF(P4&gt;=Weights!$B$12,"B","C"))</f>
        <v>A</v>
      </c>
      <c r="R4" s="3" t="s">
        <v>53</v>
      </c>
      <c r="S4" s="3" t="s">
        <v>54</v>
      </c>
      <c r="T4" s="2" t="s">
        <v>43</v>
      </c>
      <c r="U4" s="3" t="s">
        <v>55</v>
      </c>
    </row>
    <row r="5" customFormat="false" ht="46.25" hidden="false" customHeight="false" outlineLevel="0" collapsed="false">
      <c r="A5" s="2" t="n">
        <f aca="false">RANK(P5,$P$2:$P$85,0)</f>
        <v>4</v>
      </c>
      <c r="B5" s="3" t="s">
        <v>56</v>
      </c>
      <c r="C5" s="3" t="s">
        <v>57</v>
      </c>
      <c r="D5" s="3" t="s">
        <v>58</v>
      </c>
      <c r="E5" s="3" t="s">
        <v>59</v>
      </c>
      <c r="F5" s="3" t="s">
        <v>60</v>
      </c>
      <c r="G5" s="3" t="s">
        <v>61</v>
      </c>
      <c r="H5" s="3" t="s">
        <v>51</v>
      </c>
      <c r="I5" s="4"/>
      <c r="J5" s="3" t="s">
        <v>62</v>
      </c>
      <c r="K5" s="5" t="n">
        <v>6</v>
      </c>
      <c r="L5" s="5" t="n">
        <v>8</v>
      </c>
      <c r="M5" s="5" t="n">
        <v>9</v>
      </c>
      <c r="N5" s="5" t="n">
        <v>2</v>
      </c>
      <c r="O5" s="5" t="n">
        <v>8</v>
      </c>
      <c r="P5" s="6" t="n">
        <f aca="false">IF(Weights!$B$7=0,0,ROUND((K5*Weights!$B$2+L5*Weights!$B$3+M5*Weights!$B$4+N5*Weights!$B$5+O5*Weights!$B$6)/Weights!$B$7,2))</f>
        <v>6.8</v>
      </c>
      <c r="Q5" s="7" t="str">
        <f aca="false">IF(P5&gt;=Weights!$B$11,"A",IF(P5&gt;=Weights!$B$12,"B","C"))</f>
        <v>A</v>
      </c>
      <c r="R5" s="3" t="s">
        <v>63</v>
      </c>
      <c r="S5" s="3" t="s">
        <v>64</v>
      </c>
      <c r="T5" s="2" t="s">
        <v>31</v>
      </c>
      <c r="U5" s="3" t="s">
        <v>65</v>
      </c>
    </row>
    <row r="6" customFormat="false" ht="57.45" hidden="false" customHeight="false" outlineLevel="0" collapsed="false">
      <c r="A6" s="2" t="n">
        <f aca="false">RANK(P6,$P$2:$P$85,0)</f>
        <v>5</v>
      </c>
      <c r="B6" s="3" t="s">
        <v>66</v>
      </c>
      <c r="C6" s="3" t="s">
        <v>67</v>
      </c>
      <c r="D6" s="3" t="s">
        <v>35</v>
      </c>
      <c r="E6" s="3" t="s">
        <v>68</v>
      </c>
      <c r="F6" s="3" t="s">
        <v>69</v>
      </c>
      <c r="G6" s="3" t="s">
        <v>70</v>
      </c>
      <c r="H6" s="3" t="s">
        <v>71</v>
      </c>
      <c r="I6" s="4" t="n">
        <v>5802</v>
      </c>
      <c r="J6" s="3" t="s">
        <v>72</v>
      </c>
      <c r="K6" s="5" t="n">
        <v>7</v>
      </c>
      <c r="L6" s="5" t="n">
        <v>7</v>
      </c>
      <c r="M6" s="5" t="n">
        <v>7</v>
      </c>
      <c r="N6" s="5" t="n">
        <v>5</v>
      </c>
      <c r="O6" s="5" t="n">
        <v>7</v>
      </c>
      <c r="P6" s="6" t="n">
        <f aca="false">IF(Weights!$B$7=0,0,ROUND((K6*Weights!$B$2+L6*Weights!$B$3+M6*Weights!$B$4+N6*Weights!$B$5+O6*Weights!$B$6)/Weights!$B$7,2))</f>
        <v>6.7</v>
      </c>
      <c r="Q6" s="7" t="str">
        <f aca="false">IF(P6&gt;=Weights!$B$11,"A",IF(P6&gt;=Weights!$B$12,"B","C"))</f>
        <v>A</v>
      </c>
      <c r="R6" s="3" t="s">
        <v>73</v>
      </c>
      <c r="S6" s="3" t="s">
        <v>74</v>
      </c>
      <c r="T6" s="2" t="s">
        <v>43</v>
      </c>
      <c r="U6" s="3" t="s">
        <v>75</v>
      </c>
    </row>
    <row r="7" customFormat="false" ht="23.85" hidden="false" customHeight="false" outlineLevel="0" collapsed="false">
      <c r="A7" s="2" t="n">
        <f aca="false">RANK(P7,$P$2:$P$85,0)</f>
        <v>6</v>
      </c>
      <c r="B7" s="3" t="s">
        <v>76</v>
      </c>
      <c r="C7" s="3" t="s">
        <v>77</v>
      </c>
      <c r="D7" s="3" t="s">
        <v>35</v>
      </c>
      <c r="E7" s="3" t="s">
        <v>78</v>
      </c>
      <c r="F7" s="3" t="s">
        <v>79</v>
      </c>
      <c r="G7" s="3" t="s">
        <v>80</v>
      </c>
      <c r="H7" s="3" t="s">
        <v>81</v>
      </c>
      <c r="I7" s="4" t="n">
        <v>3864</v>
      </c>
      <c r="J7" s="3" t="s">
        <v>82</v>
      </c>
      <c r="K7" s="5" t="n">
        <v>4</v>
      </c>
      <c r="L7" s="5" t="n">
        <v>6</v>
      </c>
      <c r="M7" s="5" t="n">
        <v>8</v>
      </c>
      <c r="N7" s="5" t="n">
        <v>8</v>
      </c>
      <c r="O7" s="5" t="n">
        <v>8</v>
      </c>
      <c r="P7" s="6" t="n">
        <f aca="false">IF(Weights!$B$7=0,0,ROUND((K7*Weights!$B$2+L7*Weights!$B$3+M7*Weights!$B$4+N7*Weights!$B$5+O7*Weights!$B$6)/Weights!$B$7,2))</f>
        <v>6.5</v>
      </c>
      <c r="Q7" s="7" t="str">
        <f aca="false">IF(P7&gt;=Weights!$B$11,"A",IF(P7&gt;=Weights!$B$12,"B","C"))</f>
        <v>A</v>
      </c>
      <c r="R7" s="3" t="s">
        <v>83</v>
      </c>
      <c r="S7" s="3" t="s">
        <v>84</v>
      </c>
      <c r="T7" s="2" t="s">
        <v>43</v>
      </c>
      <c r="U7" s="3" t="s">
        <v>85</v>
      </c>
    </row>
    <row r="8" customFormat="false" ht="23.85" hidden="false" customHeight="false" outlineLevel="0" collapsed="false">
      <c r="A8" s="2" t="n">
        <f aca="false">RANK(P8,$P$2:$P$85,0)</f>
        <v>6</v>
      </c>
      <c r="B8" s="3" t="s">
        <v>86</v>
      </c>
      <c r="C8" s="3" t="s">
        <v>77</v>
      </c>
      <c r="D8" s="3" t="s">
        <v>35</v>
      </c>
      <c r="E8" s="3" t="s">
        <v>87</v>
      </c>
      <c r="F8" s="3" t="s">
        <v>88</v>
      </c>
      <c r="G8" s="3" t="s">
        <v>89</v>
      </c>
      <c r="H8" s="3" t="s">
        <v>90</v>
      </c>
      <c r="I8" s="4"/>
      <c r="J8" s="3" t="s">
        <v>62</v>
      </c>
      <c r="K8" s="5" t="n">
        <v>4</v>
      </c>
      <c r="L8" s="5" t="n">
        <v>6</v>
      </c>
      <c r="M8" s="5" t="n">
        <v>8</v>
      </c>
      <c r="N8" s="5" t="n">
        <v>8</v>
      </c>
      <c r="O8" s="5" t="n">
        <v>8</v>
      </c>
      <c r="P8" s="6" t="n">
        <f aca="false">IF(Weights!$B$7=0,0,ROUND((K8*Weights!$B$2+L8*Weights!$B$3+M8*Weights!$B$4+N8*Weights!$B$5+O8*Weights!$B$6)/Weights!$B$7,2))</f>
        <v>6.5</v>
      </c>
      <c r="Q8" s="7" t="str">
        <f aca="false">IF(P8&gt;=Weights!$B$11,"A",IF(P8&gt;=Weights!$B$12,"B","C"))</f>
        <v>A</v>
      </c>
      <c r="R8" s="3" t="s">
        <v>91</v>
      </c>
      <c r="S8" s="3" t="s">
        <v>92</v>
      </c>
      <c r="T8" s="2" t="s">
        <v>43</v>
      </c>
      <c r="U8" s="3" t="s">
        <v>93</v>
      </c>
    </row>
    <row r="9" customFormat="false" ht="35.05" hidden="false" customHeight="false" outlineLevel="0" collapsed="false">
      <c r="A9" s="2" t="n">
        <f aca="false">RANK(P9,$P$2:$P$85,0)</f>
        <v>8</v>
      </c>
      <c r="B9" s="3" t="s">
        <v>94</v>
      </c>
      <c r="C9" s="3" t="s">
        <v>95</v>
      </c>
      <c r="D9" s="3" t="s">
        <v>35</v>
      </c>
      <c r="E9" s="3" t="s">
        <v>96</v>
      </c>
      <c r="F9" s="3" t="s">
        <v>97</v>
      </c>
      <c r="G9" s="3" t="s">
        <v>98</v>
      </c>
      <c r="H9" s="3" t="s">
        <v>99</v>
      </c>
      <c r="I9" s="4" t="n">
        <v>4578</v>
      </c>
      <c r="J9" s="3" t="s">
        <v>100</v>
      </c>
      <c r="K9" s="5" t="n">
        <v>10</v>
      </c>
      <c r="L9" s="5" t="n">
        <v>7</v>
      </c>
      <c r="M9" s="5" t="n">
        <v>4</v>
      </c>
      <c r="N9" s="5" t="n">
        <v>2</v>
      </c>
      <c r="O9" s="5" t="n">
        <v>7</v>
      </c>
      <c r="P9" s="6" t="n">
        <f aca="false">IF(Weights!$B$7=0,0,ROUND((K9*Weights!$B$2+L9*Weights!$B$3+M9*Weights!$B$4+N9*Weights!$B$5+O9*Weights!$B$6)/Weights!$B$7,2))</f>
        <v>6.4</v>
      </c>
      <c r="Q9" s="7" t="str">
        <f aca="false">IF(P9&gt;=Weights!$B$11,"A",IF(P9&gt;=Weights!$B$12,"B","C"))</f>
        <v>B</v>
      </c>
      <c r="R9" s="3" t="s">
        <v>101</v>
      </c>
      <c r="S9" s="3" t="s">
        <v>102</v>
      </c>
      <c r="T9" s="2" t="s">
        <v>43</v>
      </c>
      <c r="U9" s="3" t="s">
        <v>103</v>
      </c>
    </row>
    <row r="10" customFormat="false" ht="46.25" hidden="false" customHeight="false" outlineLevel="0" collapsed="false">
      <c r="A10" s="2" t="n">
        <f aca="false">RANK(P10,$P$2:$P$85,0)</f>
        <v>8</v>
      </c>
      <c r="B10" s="3" t="s">
        <v>104</v>
      </c>
      <c r="C10" s="3" t="s">
        <v>105</v>
      </c>
      <c r="D10" s="3" t="s">
        <v>35</v>
      </c>
      <c r="E10" s="3" t="s">
        <v>106</v>
      </c>
      <c r="F10" s="3" t="s">
        <v>88</v>
      </c>
      <c r="G10" s="3" t="s">
        <v>107</v>
      </c>
      <c r="H10" s="3" t="s">
        <v>108</v>
      </c>
      <c r="I10" s="4" t="n">
        <v>5802</v>
      </c>
      <c r="J10" s="3" t="s">
        <v>109</v>
      </c>
      <c r="K10" s="5" t="n">
        <v>6</v>
      </c>
      <c r="L10" s="5" t="n">
        <v>6</v>
      </c>
      <c r="M10" s="5" t="n">
        <v>8</v>
      </c>
      <c r="N10" s="5" t="n">
        <v>6</v>
      </c>
      <c r="O10" s="5" t="n">
        <v>6</v>
      </c>
      <c r="P10" s="6" t="n">
        <f aca="false">IF(Weights!$B$7=0,0,ROUND((K10*Weights!$B$2+L10*Weights!$B$3+M10*Weights!$B$4+N10*Weights!$B$5+O10*Weights!$B$6)/Weights!$B$7,2))</f>
        <v>6.4</v>
      </c>
      <c r="Q10" s="7" t="str">
        <f aca="false">IF(P10&gt;=Weights!$B$11,"A",IF(P10&gt;=Weights!$B$12,"B","C"))</f>
        <v>B</v>
      </c>
      <c r="R10" s="3" t="s">
        <v>110</v>
      </c>
      <c r="S10" s="3" t="s">
        <v>111</v>
      </c>
      <c r="T10" s="2" t="s">
        <v>43</v>
      </c>
      <c r="U10" s="3" t="s">
        <v>112</v>
      </c>
    </row>
    <row r="11" customFormat="false" ht="35.05" hidden="false" customHeight="false" outlineLevel="0" collapsed="false">
      <c r="A11" s="2" t="n">
        <f aca="false">RANK(P11,$P$2:$P$85,0)</f>
        <v>10</v>
      </c>
      <c r="B11" s="3" t="s">
        <v>113</v>
      </c>
      <c r="C11" s="3" t="s">
        <v>114</v>
      </c>
      <c r="D11" s="3" t="s">
        <v>35</v>
      </c>
      <c r="E11" s="3" t="s">
        <v>36</v>
      </c>
      <c r="F11" s="3" t="s">
        <v>115</v>
      </c>
      <c r="G11" s="3" t="s">
        <v>116</v>
      </c>
      <c r="H11" s="3" t="s">
        <v>117</v>
      </c>
      <c r="I11" s="4" t="n">
        <v>5120</v>
      </c>
      <c r="J11" s="3" t="s">
        <v>118</v>
      </c>
      <c r="K11" s="5" t="n">
        <v>6</v>
      </c>
      <c r="L11" s="5" t="n">
        <v>7</v>
      </c>
      <c r="M11" s="5" t="n">
        <v>8</v>
      </c>
      <c r="N11" s="5" t="n">
        <v>3</v>
      </c>
      <c r="O11" s="5" t="n">
        <v>7</v>
      </c>
      <c r="P11" s="6" t="n">
        <f aca="false">IF(Weights!$B$7=0,0,ROUND((K11*Weights!$B$2+L11*Weights!$B$3+M11*Weights!$B$4+N11*Weights!$B$5+O11*Weights!$B$6)/Weights!$B$7,2))</f>
        <v>6.35</v>
      </c>
      <c r="Q11" s="7" t="str">
        <f aca="false">IF(P11&gt;=Weights!$B$11,"A",IF(P11&gt;=Weights!$B$12,"B","C"))</f>
        <v>B</v>
      </c>
      <c r="R11" s="3" t="s">
        <v>119</v>
      </c>
      <c r="S11" s="3" t="s">
        <v>120</v>
      </c>
      <c r="T11" s="2" t="s">
        <v>31</v>
      </c>
      <c r="U11" s="3" t="s">
        <v>121</v>
      </c>
    </row>
    <row r="12" customFormat="false" ht="46.25" hidden="false" customHeight="false" outlineLevel="0" collapsed="false">
      <c r="A12" s="2" t="n">
        <f aca="false">RANK(P12,$P$2:$P$85,0)</f>
        <v>11</v>
      </c>
      <c r="B12" s="3" t="s">
        <v>122</v>
      </c>
      <c r="C12" s="3" t="s">
        <v>123</v>
      </c>
      <c r="D12" s="3" t="s">
        <v>35</v>
      </c>
      <c r="E12" s="3" t="s">
        <v>124</v>
      </c>
      <c r="F12" s="3" t="s">
        <v>125</v>
      </c>
      <c r="G12" s="3" t="s">
        <v>126</v>
      </c>
      <c r="H12" s="3" t="s">
        <v>127</v>
      </c>
      <c r="I12" s="4" t="n">
        <v>6183</v>
      </c>
      <c r="J12" s="3" t="s">
        <v>128</v>
      </c>
      <c r="K12" s="5" t="n">
        <v>9</v>
      </c>
      <c r="L12" s="5" t="n">
        <v>7</v>
      </c>
      <c r="M12" s="5" t="n">
        <v>4</v>
      </c>
      <c r="N12" s="5" t="n">
        <v>3</v>
      </c>
      <c r="O12" s="5" t="n">
        <v>7</v>
      </c>
      <c r="P12" s="6" t="n">
        <f aca="false">IF(Weights!$B$7=0,0,ROUND((K12*Weights!$B$2+L12*Weights!$B$3+M12*Weights!$B$4+N12*Weights!$B$5+O12*Weights!$B$6)/Weights!$B$7,2))</f>
        <v>6.3</v>
      </c>
      <c r="Q12" s="7" t="str">
        <f aca="false">IF(P12&gt;=Weights!$B$11,"A",IF(P12&gt;=Weights!$B$12,"B","C"))</f>
        <v>B</v>
      </c>
      <c r="R12" s="3" t="s">
        <v>129</v>
      </c>
      <c r="S12" s="3" t="s">
        <v>130</v>
      </c>
      <c r="T12" s="2" t="s">
        <v>43</v>
      </c>
      <c r="U12" s="3" t="s">
        <v>131</v>
      </c>
    </row>
    <row r="13" customFormat="false" ht="35.05" hidden="false" customHeight="false" outlineLevel="0" collapsed="false">
      <c r="A13" s="2" t="n">
        <f aca="false">RANK(P13,$P$2:$P$85,0)</f>
        <v>11</v>
      </c>
      <c r="B13" s="3" t="s">
        <v>132</v>
      </c>
      <c r="C13" s="3" t="s">
        <v>133</v>
      </c>
      <c r="D13" s="3" t="s">
        <v>35</v>
      </c>
      <c r="E13" s="3" t="s">
        <v>134</v>
      </c>
      <c r="F13" s="3" t="s">
        <v>135</v>
      </c>
      <c r="G13" s="3" t="s">
        <v>136</v>
      </c>
      <c r="H13" s="3" t="s">
        <v>51</v>
      </c>
      <c r="I13" s="4" t="n">
        <v>5120</v>
      </c>
      <c r="J13" s="3" t="s">
        <v>118</v>
      </c>
      <c r="K13" s="5" t="n">
        <v>6</v>
      </c>
      <c r="L13" s="5" t="n">
        <v>6</v>
      </c>
      <c r="M13" s="5" t="n">
        <v>9</v>
      </c>
      <c r="N13" s="5" t="n">
        <v>3</v>
      </c>
      <c r="O13" s="5" t="n">
        <v>7</v>
      </c>
      <c r="P13" s="6" t="n">
        <f aca="false">IF(Weights!$B$7=0,0,ROUND((K13*Weights!$B$2+L13*Weights!$B$3+M13*Weights!$B$4+N13*Weights!$B$5+O13*Weights!$B$6)/Weights!$B$7,2))</f>
        <v>6.3</v>
      </c>
      <c r="Q13" s="7" t="str">
        <f aca="false">IF(P13&gt;=Weights!$B$11,"A",IF(P13&gt;=Weights!$B$12,"B","C"))</f>
        <v>B</v>
      </c>
      <c r="R13" s="3" t="s">
        <v>137</v>
      </c>
      <c r="S13" s="3" t="s">
        <v>138</v>
      </c>
      <c r="T13" s="2" t="s">
        <v>31</v>
      </c>
      <c r="U13" s="3" t="s">
        <v>139</v>
      </c>
    </row>
    <row r="14" customFormat="false" ht="35.05" hidden="false" customHeight="false" outlineLevel="0" collapsed="false">
      <c r="A14" s="2" t="n">
        <f aca="false">RANK(P14,$P$2:$P$85,0)</f>
        <v>11</v>
      </c>
      <c r="B14" s="3" t="s">
        <v>140</v>
      </c>
      <c r="C14" s="3" t="s">
        <v>141</v>
      </c>
      <c r="D14" s="3" t="s">
        <v>35</v>
      </c>
      <c r="E14" s="3" t="s">
        <v>142</v>
      </c>
      <c r="F14" s="3" t="s">
        <v>143</v>
      </c>
      <c r="G14" s="3" t="s">
        <v>144</v>
      </c>
      <c r="H14" s="3" t="s">
        <v>145</v>
      </c>
      <c r="I14" s="4" t="n">
        <v>5507</v>
      </c>
      <c r="J14" s="3" t="s">
        <v>146</v>
      </c>
      <c r="K14" s="5" t="n">
        <v>7</v>
      </c>
      <c r="L14" s="5" t="n">
        <v>6</v>
      </c>
      <c r="M14" s="5" t="n">
        <v>7</v>
      </c>
      <c r="N14" s="5" t="n">
        <v>4</v>
      </c>
      <c r="O14" s="5" t="n">
        <v>7</v>
      </c>
      <c r="P14" s="6" t="n">
        <f aca="false">IF(Weights!$B$7=0,0,ROUND((K14*Weights!$B$2+L14*Weights!$B$3+M14*Weights!$B$4+N14*Weights!$B$5+O14*Weights!$B$6)/Weights!$B$7,2))</f>
        <v>6.3</v>
      </c>
      <c r="Q14" s="7" t="str">
        <f aca="false">IF(P14&gt;=Weights!$B$11,"A",IF(P14&gt;=Weights!$B$12,"B","C"))</f>
        <v>B</v>
      </c>
      <c r="R14" s="3" t="s">
        <v>147</v>
      </c>
      <c r="S14" s="3" t="s">
        <v>148</v>
      </c>
      <c r="T14" s="2" t="s">
        <v>43</v>
      </c>
      <c r="U14" s="3" t="s">
        <v>149</v>
      </c>
    </row>
    <row r="15" customFormat="false" ht="35.05" hidden="false" customHeight="false" outlineLevel="0" collapsed="false">
      <c r="A15" s="2" t="n">
        <f aca="false">RANK(P15,$P$2:$P$85,0)</f>
        <v>11</v>
      </c>
      <c r="B15" s="3" t="s">
        <v>150</v>
      </c>
      <c r="C15" s="3" t="s">
        <v>151</v>
      </c>
      <c r="D15" s="3" t="s">
        <v>35</v>
      </c>
      <c r="E15" s="3" t="s">
        <v>152</v>
      </c>
      <c r="F15" s="3" t="s">
        <v>153</v>
      </c>
      <c r="G15" s="3" t="s">
        <v>154</v>
      </c>
      <c r="H15" s="3" t="s">
        <v>155</v>
      </c>
      <c r="I15" s="4" t="n">
        <v>3830</v>
      </c>
      <c r="J15" s="3" t="s">
        <v>156</v>
      </c>
      <c r="K15" s="5" t="n">
        <v>5</v>
      </c>
      <c r="L15" s="5" t="n">
        <v>6</v>
      </c>
      <c r="M15" s="5" t="n">
        <v>8</v>
      </c>
      <c r="N15" s="5" t="n">
        <v>6</v>
      </c>
      <c r="O15" s="5" t="n">
        <v>7</v>
      </c>
      <c r="P15" s="6" t="n">
        <f aca="false">IF(Weights!$B$7=0,0,ROUND((K15*Weights!$B$2+L15*Weights!$B$3+M15*Weights!$B$4+N15*Weights!$B$5+O15*Weights!$B$6)/Weights!$B$7,2))</f>
        <v>6.3</v>
      </c>
      <c r="Q15" s="7" t="str">
        <f aca="false">IF(P15&gt;=Weights!$B$11,"A",IF(P15&gt;=Weights!$B$12,"B","C"))</f>
        <v>B</v>
      </c>
      <c r="R15" s="3" t="s">
        <v>157</v>
      </c>
      <c r="S15" s="3" t="s">
        <v>158</v>
      </c>
      <c r="T15" s="2" t="s">
        <v>43</v>
      </c>
      <c r="U15" s="3" t="s">
        <v>159</v>
      </c>
    </row>
    <row r="16" customFormat="false" ht="35.05" hidden="false" customHeight="false" outlineLevel="0" collapsed="false">
      <c r="A16" s="2" t="n">
        <f aca="false">RANK(P16,$P$2:$P$85,0)</f>
        <v>11</v>
      </c>
      <c r="B16" s="3" t="s">
        <v>160</v>
      </c>
      <c r="C16" s="3" t="s">
        <v>161</v>
      </c>
      <c r="D16" s="3" t="s">
        <v>162</v>
      </c>
      <c r="E16" s="3" t="s">
        <v>163</v>
      </c>
      <c r="F16" s="3" t="s">
        <v>164</v>
      </c>
      <c r="G16" s="3" t="s">
        <v>165</v>
      </c>
      <c r="H16" s="3" t="s">
        <v>166</v>
      </c>
      <c r="I16" s="4" t="n">
        <v>4748</v>
      </c>
      <c r="J16" s="3" t="s">
        <v>167</v>
      </c>
      <c r="K16" s="5" t="n">
        <v>7</v>
      </c>
      <c r="L16" s="5" t="n">
        <v>6</v>
      </c>
      <c r="M16" s="5" t="n">
        <v>7</v>
      </c>
      <c r="N16" s="5" t="n">
        <v>5</v>
      </c>
      <c r="O16" s="5" t="n">
        <v>6</v>
      </c>
      <c r="P16" s="6" t="n">
        <f aca="false">IF(Weights!$B$7=0,0,ROUND((K16*Weights!$B$2+L16*Weights!$B$3+M16*Weights!$B$4+N16*Weights!$B$5+O16*Weights!$B$6)/Weights!$B$7,2))</f>
        <v>6.3</v>
      </c>
      <c r="Q16" s="7" t="str">
        <f aca="false">IF(P16&gt;=Weights!$B$11,"A",IF(P16&gt;=Weights!$B$12,"B","C"))</f>
        <v>B</v>
      </c>
      <c r="R16" s="3" t="s">
        <v>168</v>
      </c>
      <c r="S16" s="3" t="s">
        <v>169</v>
      </c>
      <c r="T16" s="2" t="s">
        <v>43</v>
      </c>
      <c r="U16" s="3" t="s">
        <v>170</v>
      </c>
    </row>
    <row r="17" customFormat="false" ht="35.05" hidden="false" customHeight="false" outlineLevel="0" collapsed="false">
      <c r="A17" s="2" t="n">
        <f aca="false">RANK(P17,$P$2:$P$85,0)</f>
        <v>16</v>
      </c>
      <c r="B17" s="3" t="s">
        <v>171</v>
      </c>
      <c r="C17" s="3" t="s">
        <v>172</v>
      </c>
      <c r="D17" s="3" t="s">
        <v>35</v>
      </c>
      <c r="E17" s="3" t="s">
        <v>173</v>
      </c>
      <c r="F17" s="3" t="s">
        <v>174</v>
      </c>
      <c r="G17" s="3" t="s">
        <v>175</v>
      </c>
      <c r="H17" s="3" t="s">
        <v>176</v>
      </c>
      <c r="I17" s="4"/>
      <c r="J17" s="3" t="s">
        <v>177</v>
      </c>
      <c r="K17" s="5" t="n">
        <v>4</v>
      </c>
      <c r="L17" s="5" t="n">
        <v>7</v>
      </c>
      <c r="M17" s="5" t="n">
        <v>7</v>
      </c>
      <c r="N17" s="5" t="n">
        <v>7</v>
      </c>
      <c r="O17" s="5" t="n">
        <v>7</v>
      </c>
      <c r="P17" s="6" t="n">
        <f aca="false">IF(Weights!$B$7=0,0,ROUND((K17*Weights!$B$2+L17*Weights!$B$3+M17*Weights!$B$4+N17*Weights!$B$5+O17*Weights!$B$6)/Weights!$B$7,2))</f>
        <v>6.25</v>
      </c>
      <c r="Q17" s="7" t="str">
        <f aca="false">IF(P17&gt;=Weights!$B$11,"A",IF(P17&gt;=Weights!$B$12,"B","C"))</f>
        <v>B</v>
      </c>
      <c r="R17" s="3" t="s">
        <v>178</v>
      </c>
      <c r="S17" s="3" t="s">
        <v>179</v>
      </c>
      <c r="T17" s="2" t="s">
        <v>43</v>
      </c>
      <c r="U17" s="3" t="s">
        <v>180</v>
      </c>
    </row>
    <row r="18" customFormat="false" ht="35.05" hidden="false" customHeight="false" outlineLevel="0" collapsed="false">
      <c r="A18" s="2" t="n">
        <f aca="false">RANK(P18,$P$2:$P$85,0)</f>
        <v>16</v>
      </c>
      <c r="B18" s="3" t="s">
        <v>181</v>
      </c>
      <c r="C18" s="3" t="s">
        <v>182</v>
      </c>
      <c r="D18" s="3" t="s">
        <v>183</v>
      </c>
      <c r="E18" s="3" t="s">
        <v>184</v>
      </c>
      <c r="F18" s="3" t="s">
        <v>88</v>
      </c>
      <c r="G18" s="3" t="s">
        <v>185</v>
      </c>
      <c r="H18" s="3" t="s">
        <v>186</v>
      </c>
      <c r="I18" s="4" t="n">
        <v>3708</v>
      </c>
      <c r="J18" s="3" t="s">
        <v>156</v>
      </c>
      <c r="K18" s="5" t="n">
        <v>5</v>
      </c>
      <c r="L18" s="5" t="n">
        <v>6</v>
      </c>
      <c r="M18" s="5" t="n">
        <v>7</v>
      </c>
      <c r="N18" s="5" t="n">
        <v>7</v>
      </c>
      <c r="O18" s="5" t="n">
        <v>7</v>
      </c>
      <c r="P18" s="6" t="n">
        <f aca="false">IF(Weights!$B$7=0,0,ROUND((K18*Weights!$B$2+L18*Weights!$B$3+M18*Weights!$B$4+N18*Weights!$B$5+O18*Weights!$B$6)/Weights!$B$7,2))</f>
        <v>6.25</v>
      </c>
      <c r="Q18" s="7" t="str">
        <f aca="false">IF(P18&gt;=Weights!$B$11,"A",IF(P18&gt;=Weights!$B$12,"B","C"))</f>
        <v>B</v>
      </c>
      <c r="R18" s="3" t="s">
        <v>187</v>
      </c>
      <c r="S18" s="3" t="s">
        <v>188</v>
      </c>
      <c r="T18" s="2" t="s">
        <v>31</v>
      </c>
      <c r="U18" s="3" t="s">
        <v>189</v>
      </c>
    </row>
    <row r="19" customFormat="false" ht="35.05" hidden="false" customHeight="false" outlineLevel="0" collapsed="false">
      <c r="A19" s="2" t="n">
        <f aca="false">RANK(P19,$P$2:$P$85,0)</f>
        <v>18</v>
      </c>
      <c r="B19" s="3" t="s">
        <v>190</v>
      </c>
      <c r="C19" s="3" t="s">
        <v>191</v>
      </c>
      <c r="D19" s="3" t="s">
        <v>35</v>
      </c>
      <c r="E19" s="3" t="s">
        <v>192</v>
      </c>
      <c r="F19" s="3" t="s">
        <v>193</v>
      </c>
      <c r="G19" s="3" t="s">
        <v>116</v>
      </c>
      <c r="H19" s="3" t="s">
        <v>88</v>
      </c>
      <c r="I19" s="4"/>
      <c r="J19" s="3" t="s">
        <v>62</v>
      </c>
      <c r="K19" s="5" t="n">
        <v>4</v>
      </c>
      <c r="L19" s="5" t="n">
        <v>7</v>
      </c>
      <c r="M19" s="5" t="n">
        <v>9</v>
      </c>
      <c r="N19" s="5" t="n">
        <v>3</v>
      </c>
      <c r="O19" s="5" t="n">
        <v>8</v>
      </c>
      <c r="P19" s="6" t="n">
        <f aca="false">IF(Weights!$B$7=0,0,ROUND((K19*Weights!$B$2+L19*Weights!$B$3+M19*Weights!$B$4+N19*Weights!$B$5+O19*Weights!$B$6)/Weights!$B$7,2))</f>
        <v>6.2</v>
      </c>
      <c r="Q19" s="7" t="str">
        <f aca="false">IF(P19&gt;=Weights!$B$11,"A",IF(P19&gt;=Weights!$B$12,"B","C"))</f>
        <v>B</v>
      </c>
      <c r="R19" s="3" t="s">
        <v>194</v>
      </c>
      <c r="S19" s="3" t="s">
        <v>195</v>
      </c>
      <c r="T19" s="2" t="s">
        <v>43</v>
      </c>
      <c r="U19" s="3" t="s">
        <v>196</v>
      </c>
    </row>
    <row r="20" customFormat="false" ht="46.25" hidden="false" customHeight="false" outlineLevel="0" collapsed="false">
      <c r="A20" s="2" t="n">
        <f aca="false">RANK(P20,$P$2:$P$85,0)</f>
        <v>18</v>
      </c>
      <c r="B20" s="3" t="s">
        <v>197</v>
      </c>
      <c r="C20" s="3" t="s">
        <v>198</v>
      </c>
      <c r="D20" s="3" t="s">
        <v>35</v>
      </c>
      <c r="E20" s="3" t="s">
        <v>199</v>
      </c>
      <c r="F20" s="3" t="s">
        <v>200</v>
      </c>
      <c r="G20" s="3" t="s">
        <v>201</v>
      </c>
      <c r="H20" s="3" t="s">
        <v>88</v>
      </c>
      <c r="I20" s="4" t="n">
        <v>6240</v>
      </c>
      <c r="J20" s="3" t="s">
        <v>202</v>
      </c>
      <c r="K20" s="5" t="n">
        <v>7</v>
      </c>
      <c r="L20" s="5" t="n">
        <v>6</v>
      </c>
      <c r="M20" s="5" t="n">
        <v>8</v>
      </c>
      <c r="N20" s="5" t="n">
        <v>3</v>
      </c>
      <c r="O20" s="5" t="n">
        <v>6</v>
      </c>
      <c r="P20" s="6" t="n">
        <f aca="false">IF(Weights!$B$7=0,0,ROUND((K20*Weights!$B$2+L20*Weights!$B$3+M20*Weights!$B$4+N20*Weights!$B$5+O20*Weights!$B$6)/Weights!$B$7,2))</f>
        <v>6.2</v>
      </c>
      <c r="Q20" s="7" t="str">
        <f aca="false">IF(P20&gt;=Weights!$B$11,"A",IF(P20&gt;=Weights!$B$12,"B","C"))</f>
        <v>B</v>
      </c>
      <c r="R20" s="3" t="s">
        <v>203</v>
      </c>
      <c r="S20" s="3" t="s">
        <v>204</v>
      </c>
      <c r="T20" s="2" t="s">
        <v>43</v>
      </c>
      <c r="U20" s="3" t="s">
        <v>205</v>
      </c>
    </row>
    <row r="21" customFormat="false" ht="23.85" hidden="false" customHeight="false" outlineLevel="0" collapsed="false">
      <c r="A21" s="2" t="n">
        <f aca="false">RANK(P21,$P$2:$P$85,0)</f>
        <v>20</v>
      </c>
      <c r="B21" s="3" t="s">
        <v>206</v>
      </c>
      <c r="C21" s="3" t="s">
        <v>151</v>
      </c>
      <c r="D21" s="3" t="s">
        <v>35</v>
      </c>
      <c r="E21" s="3" t="s">
        <v>184</v>
      </c>
      <c r="F21" s="3" t="s">
        <v>88</v>
      </c>
      <c r="G21" s="3" t="s">
        <v>207</v>
      </c>
      <c r="H21" s="3" t="s">
        <v>88</v>
      </c>
      <c r="I21" s="4" t="n">
        <v>3708</v>
      </c>
      <c r="J21" s="3" t="s">
        <v>156</v>
      </c>
      <c r="K21" s="5" t="n">
        <v>5</v>
      </c>
      <c r="L21" s="5" t="n">
        <v>6</v>
      </c>
      <c r="M21" s="5" t="n">
        <v>8</v>
      </c>
      <c r="N21" s="5" t="n">
        <v>5</v>
      </c>
      <c r="O21" s="5" t="n">
        <v>7</v>
      </c>
      <c r="P21" s="6" t="n">
        <f aca="false">IF(Weights!$B$7=0,0,ROUND((K21*Weights!$B$2+L21*Weights!$B$3+M21*Weights!$B$4+N21*Weights!$B$5+O21*Weights!$B$6)/Weights!$B$7,2))</f>
        <v>6.15</v>
      </c>
      <c r="Q21" s="7" t="str">
        <f aca="false">IF(P21&gt;=Weights!$B$11,"A",IF(P21&gt;=Weights!$B$12,"B","C"))</f>
        <v>B</v>
      </c>
      <c r="R21" s="3" t="s">
        <v>208</v>
      </c>
      <c r="S21" s="3" t="s">
        <v>209</v>
      </c>
      <c r="T21" s="2" t="s">
        <v>31</v>
      </c>
      <c r="U21" s="3" t="s">
        <v>210</v>
      </c>
    </row>
    <row r="22" customFormat="false" ht="23.85" hidden="false" customHeight="false" outlineLevel="0" collapsed="false">
      <c r="A22" s="2" t="n">
        <f aca="false">RANK(P22,$P$2:$P$85,0)</f>
        <v>21</v>
      </c>
      <c r="B22" s="3" t="s">
        <v>211</v>
      </c>
      <c r="C22" s="3" t="s">
        <v>212</v>
      </c>
      <c r="D22" s="3" t="s">
        <v>35</v>
      </c>
      <c r="E22" s="3" t="s">
        <v>213</v>
      </c>
      <c r="F22" s="3" t="s">
        <v>214</v>
      </c>
      <c r="G22" s="3" t="s">
        <v>215</v>
      </c>
      <c r="H22" s="3" t="s">
        <v>88</v>
      </c>
      <c r="I22" s="4"/>
      <c r="J22" s="3" t="s">
        <v>62</v>
      </c>
      <c r="K22" s="5" t="n">
        <v>5</v>
      </c>
      <c r="L22" s="5" t="n">
        <v>8</v>
      </c>
      <c r="M22" s="5" t="n">
        <v>8</v>
      </c>
      <c r="N22" s="5" t="n">
        <v>1</v>
      </c>
      <c r="O22" s="5" t="n">
        <v>7</v>
      </c>
      <c r="P22" s="6" t="n">
        <f aca="false">IF(Weights!$B$7=0,0,ROUND((K22*Weights!$B$2+L22*Weights!$B$3+M22*Weights!$B$4+N22*Weights!$B$5+O22*Weights!$B$6)/Weights!$B$7,2))</f>
        <v>6.05</v>
      </c>
      <c r="Q22" s="7" t="str">
        <f aca="false">IF(P22&gt;=Weights!$B$11,"A",IF(P22&gt;=Weights!$B$12,"B","C"))</f>
        <v>B</v>
      </c>
      <c r="R22" s="3" t="s">
        <v>216</v>
      </c>
      <c r="S22" s="3" t="s">
        <v>217</v>
      </c>
      <c r="T22" s="2" t="s">
        <v>218</v>
      </c>
      <c r="U22" s="3" t="s">
        <v>219</v>
      </c>
    </row>
    <row r="23" customFormat="false" ht="23.85" hidden="false" customHeight="false" outlineLevel="0" collapsed="false">
      <c r="A23" s="2" t="n">
        <f aca="false">RANK(P23,$P$2:$P$85,0)</f>
        <v>21</v>
      </c>
      <c r="B23" s="3" t="s">
        <v>220</v>
      </c>
      <c r="C23" s="3" t="s">
        <v>221</v>
      </c>
      <c r="D23" s="3" t="s">
        <v>35</v>
      </c>
      <c r="E23" s="3" t="s">
        <v>222</v>
      </c>
      <c r="F23" s="3" t="s">
        <v>223</v>
      </c>
      <c r="G23" s="3" t="s">
        <v>224</v>
      </c>
      <c r="H23" s="3" t="s">
        <v>51</v>
      </c>
      <c r="I23" s="4" t="n">
        <v>5245</v>
      </c>
      <c r="J23" s="3" t="s">
        <v>225</v>
      </c>
      <c r="K23" s="5" t="n">
        <v>6</v>
      </c>
      <c r="L23" s="5" t="n">
        <v>7</v>
      </c>
      <c r="M23" s="5" t="n">
        <v>8</v>
      </c>
      <c r="N23" s="5" t="n">
        <v>1</v>
      </c>
      <c r="O23" s="5" t="n">
        <v>7</v>
      </c>
      <c r="P23" s="6" t="n">
        <f aca="false">IF(Weights!$B$7=0,0,ROUND((K23*Weights!$B$2+L23*Weights!$B$3+M23*Weights!$B$4+N23*Weights!$B$5+O23*Weights!$B$6)/Weights!$B$7,2))</f>
        <v>6.05</v>
      </c>
      <c r="Q23" s="7" t="str">
        <f aca="false">IF(P23&gt;=Weights!$B$11,"A",IF(P23&gt;=Weights!$B$12,"B","C"))</f>
        <v>B</v>
      </c>
      <c r="R23" s="3" t="s">
        <v>226</v>
      </c>
      <c r="S23" s="3" t="s">
        <v>227</v>
      </c>
      <c r="T23" s="2" t="s">
        <v>43</v>
      </c>
      <c r="U23" s="3" t="s">
        <v>228</v>
      </c>
    </row>
    <row r="24" customFormat="false" ht="35.05" hidden="false" customHeight="false" outlineLevel="0" collapsed="false">
      <c r="A24" s="2" t="n">
        <f aca="false">RANK(P24,$P$2:$P$85,0)</f>
        <v>21</v>
      </c>
      <c r="B24" s="3" t="s">
        <v>229</v>
      </c>
      <c r="C24" s="3" t="s">
        <v>133</v>
      </c>
      <c r="D24" s="3" t="s">
        <v>35</v>
      </c>
      <c r="E24" s="3" t="s">
        <v>230</v>
      </c>
      <c r="F24" s="3" t="s">
        <v>231</v>
      </c>
      <c r="G24" s="3" t="s">
        <v>232</v>
      </c>
      <c r="H24" s="3" t="s">
        <v>88</v>
      </c>
      <c r="I24" s="4" t="n">
        <v>4781</v>
      </c>
      <c r="J24" s="3" t="s">
        <v>233</v>
      </c>
      <c r="K24" s="5" t="n">
        <v>6</v>
      </c>
      <c r="L24" s="5" t="n">
        <v>5</v>
      </c>
      <c r="M24" s="5" t="n">
        <v>9</v>
      </c>
      <c r="N24" s="5" t="n">
        <v>4</v>
      </c>
      <c r="O24" s="5" t="n">
        <v>6</v>
      </c>
      <c r="P24" s="6" t="n">
        <f aca="false">IF(Weights!$B$7=0,0,ROUND((K24*Weights!$B$2+L24*Weights!$B$3+M24*Weights!$B$4+N24*Weights!$B$5+O24*Weights!$B$6)/Weights!$B$7,2))</f>
        <v>6.05</v>
      </c>
      <c r="Q24" s="7" t="str">
        <f aca="false">IF(P24&gt;=Weights!$B$11,"A",IF(P24&gt;=Weights!$B$12,"B","C"))</f>
        <v>B</v>
      </c>
      <c r="R24" s="3" t="s">
        <v>234</v>
      </c>
      <c r="S24" s="3" t="s">
        <v>235</v>
      </c>
      <c r="T24" s="2" t="s">
        <v>43</v>
      </c>
      <c r="U24" s="3" t="s">
        <v>236</v>
      </c>
    </row>
    <row r="25" customFormat="false" ht="35.05" hidden="false" customHeight="false" outlineLevel="0" collapsed="false">
      <c r="A25" s="2" t="n">
        <f aca="false">RANK(P25,$P$2:$P$85,0)</f>
        <v>24</v>
      </c>
      <c r="B25" s="3" t="s">
        <v>237</v>
      </c>
      <c r="C25" s="3" t="s">
        <v>238</v>
      </c>
      <c r="D25" s="3" t="s">
        <v>35</v>
      </c>
      <c r="E25" s="3" t="s">
        <v>239</v>
      </c>
      <c r="F25" s="3" t="s">
        <v>240</v>
      </c>
      <c r="G25" s="3" t="s">
        <v>241</v>
      </c>
      <c r="H25" s="3" t="s">
        <v>88</v>
      </c>
      <c r="I25" s="4" t="n">
        <v>4950</v>
      </c>
      <c r="J25" s="3" t="s">
        <v>242</v>
      </c>
      <c r="K25" s="5" t="n">
        <v>6</v>
      </c>
      <c r="L25" s="5" t="n">
        <v>7</v>
      </c>
      <c r="M25" s="5" t="n">
        <v>7</v>
      </c>
      <c r="N25" s="5" t="n">
        <v>2</v>
      </c>
      <c r="O25" s="5" t="n">
        <v>7</v>
      </c>
      <c r="P25" s="6" t="n">
        <f aca="false">IF(Weights!$B$7=0,0,ROUND((K25*Weights!$B$2+L25*Weights!$B$3+M25*Weights!$B$4+N25*Weights!$B$5+O25*Weights!$B$6)/Weights!$B$7,2))</f>
        <v>6</v>
      </c>
      <c r="Q25" s="7" t="str">
        <f aca="false">IF(P25&gt;=Weights!$B$11,"A",IF(P25&gt;=Weights!$B$12,"B","C"))</f>
        <v>B</v>
      </c>
      <c r="R25" s="3" t="s">
        <v>243</v>
      </c>
      <c r="S25" s="3" t="s">
        <v>244</v>
      </c>
      <c r="T25" s="2" t="s">
        <v>43</v>
      </c>
      <c r="U25" s="3" t="s">
        <v>245</v>
      </c>
    </row>
    <row r="26" customFormat="false" ht="35.05" hidden="false" customHeight="false" outlineLevel="0" collapsed="false">
      <c r="A26" s="2" t="n">
        <f aca="false">RANK(P26,$P$2:$P$85,0)</f>
        <v>24</v>
      </c>
      <c r="B26" s="3" t="s">
        <v>246</v>
      </c>
      <c r="C26" s="3" t="s">
        <v>247</v>
      </c>
      <c r="D26" s="3" t="s">
        <v>35</v>
      </c>
      <c r="E26" s="3" t="s">
        <v>248</v>
      </c>
      <c r="F26" s="3" t="s">
        <v>249</v>
      </c>
      <c r="G26" s="3" t="s">
        <v>250</v>
      </c>
      <c r="H26" s="3" t="s">
        <v>251</v>
      </c>
      <c r="I26" s="4" t="n">
        <v>4020</v>
      </c>
      <c r="J26" s="3" t="s">
        <v>252</v>
      </c>
      <c r="K26" s="5" t="n">
        <v>6</v>
      </c>
      <c r="L26" s="5" t="n">
        <v>6</v>
      </c>
      <c r="M26" s="5" t="n">
        <v>6</v>
      </c>
      <c r="N26" s="5" t="n">
        <v>6</v>
      </c>
      <c r="O26" s="5" t="n">
        <v>6</v>
      </c>
      <c r="P26" s="6" t="n">
        <f aca="false">IF(Weights!$B$7=0,0,ROUND((K26*Weights!$B$2+L26*Weights!$B$3+M26*Weights!$B$4+N26*Weights!$B$5+O26*Weights!$B$6)/Weights!$B$7,2))</f>
        <v>6</v>
      </c>
      <c r="Q26" s="7" t="str">
        <f aca="false">IF(P26&gt;=Weights!$B$11,"A",IF(P26&gt;=Weights!$B$12,"B","C"))</f>
        <v>B</v>
      </c>
      <c r="R26" s="3" t="s">
        <v>253</v>
      </c>
      <c r="S26" s="3" t="s">
        <v>254</v>
      </c>
      <c r="T26" s="2" t="s">
        <v>43</v>
      </c>
      <c r="U26" s="3" t="s">
        <v>255</v>
      </c>
    </row>
    <row r="27" customFormat="false" ht="23.85" hidden="false" customHeight="false" outlineLevel="0" collapsed="false">
      <c r="A27" s="2" t="n">
        <f aca="false">RANK(P27,$P$2:$P$85,0)</f>
        <v>26</v>
      </c>
      <c r="B27" s="3" t="s">
        <v>256</v>
      </c>
      <c r="C27" s="3" t="s">
        <v>257</v>
      </c>
      <c r="D27" s="3" t="s">
        <v>35</v>
      </c>
      <c r="E27" s="3" t="s">
        <v>258</v>
      </c>
      <c r="F27" s="3" t="s">
        <v>88</v>
      </c>
      <c r="G27" s="3" t="s">
        <v>259</v>
      </c>
      <c r="H27" s="3" t="s">
        <v>260</v>
      </c>
      <c r="I27" s="4"/>
      <c r="J27" s="3" t="s">
        <v>62</v>
      </c>
      <c r="K27" s="5" t="n">
        <v>3</v>
      </c>
      <c r="L27" s="5" t="n">
        <v>6</v>
      </c>
      <c r="M27" s="5" t="n">
        <v>8</v>
      </c>
      <c r="N27" s="5" t="n">
        <v>7</v>
      </c>
      <c r="O27" s="5" t="n">
        <v>7</v>
      </c>
      <c r="P27" s="6" t="n">
        <f aca="false">IF(Weights!$B$7=0,0,ROUND((K27*Weights!$B$2+L27*Weights!$B$3+M27*Weights!$B$4+N27*Weights!$B$5+O27*Weights!$B$6)/Weights!$B$7,2))</f>
        <v>5.95</v>
      </c>
      <c r="Q27" s="7" t="str">
        <f aca="false">IF(P27&gt;=Weights!$B$11,"A",IF(P27&gt;=Weights!$B$12,"B","C"))</f>
        <v>B</v>
      </c>
      <c r="R27" s="3" t="s">
        <v>261</v>
      </c>
      <c r="S27" s="3" t="s">
        <v>262</v>
      </c>
      <c r="T27" s="2" t="s">
        <v>31</v>
      </c>
      <c r="U27" s="3" t="s">
        <v>263</v>
      </c>
    </row>
    <row r="28" customFormat="false" ht="35.05" hidden="false" customHeight="false" outlineLevel="0" collapsed="false">
      <c r="A28" s="2" t="n">
        <f aca="false">RANK(P28,$P$2:$P$85,0)</f>
        <v>26</v>
      </c>
      <c r="B28" s="3" t="s">
        <v>264</v>
      </c>
      <c r="C28" s="3" t="s">
        <v>257</v>
      </c>
      <c r="D28" s="3" t="s">
        <v>35</v>
      </c>
      <c r="E28" s="3" t="s">
        <v>265</v>
      </c>
      <c r="F28" s="3" t="s">
        <v>88</v>
      </c>
      <c r="G28" s="3" t="s">
        <v>266</v>
      </c>
      <c r="H28" s="3" t="s">
        <v>267</v>
      </c>
      <c r="I28" s="4"/>
      <c r="J28" s="3" t="s">
        <v>62</v>
      </c>
      <c r="K28" s="5" t="n">
        <v>3</v>
      </c>
      <c r="L28" s="5" t="n">
        <v>6</v>
      </c>
      <c r="M28" s="5" t="n">
        <v>8</v>
      </c>
      <c r="N28" s="5" t="n">
        <v>7</v>
      </c>
      <c r="O28" s="5" t="n">
        <v>7</v>
      </c>
      <c r="P28" s="6" t="n">
        <f aca="false">IF(Weights!$B$7=0,0,ROUND((K28*Weights!$B$2+L28*Weights!$B$3+M28*Weights!$B$4+N28*Weights!$B$5+O28*Weights!$B$6)/Weights!$B$7,2))</f>
        <v>5.95</v>
      </c>
      <c r="Q28" s="7" t="str">
        <f aca="false">IF(P28&gt;=Weights!$B$11,"A",IF(P28&gt;=Weights!$B$12,"B","C"))</f>
        <v>B</v>
      </c>
      <c r="R28" s="3" t="s">
        <v>268</v>
      </c>
      <c r="S28" s="3" t="s">
        <v>269</v>
      </c>
      <c r="T28" s="2" t="s">
        <v>31</v>
      </c>
      <c r="U28" s="3" t="s">
        <v>270</v>
      </c>
    </row>
    <row r="29" customFormat="false" ht="35.05" hidden="false" customHeight="false" outlineLevel="0" collapsed="false">
      <c r="A29" s="2" t="n">
        <f aca="false">RANK(P29,$P$2:$P$85,0)</f>
        <v>28</v>
      </c>
      <c r="B29" s="3" t="s">
        <v>271</v>
      </c>
      <c r="C29" s="3" t="s">
        <v>272</v>
      </c>
      <c r="D29" s="3" t="s">
        <v>35</v>
      </c>
      <c r="E29" s="3" t="s">
        <v>273</v>
      </c>
      <c r="F29" s="3" t="s">
        <v>274</v>
      </c>
      <c r="G29" s="3" t="s">
        <v>275</v>
      </c>
      <c r="H29" s="3" t="s">
        <v>276</v>
      </c>
      <c r="I29" s="4" t="n">
        <v>4840</v>
      </c>
      <c r="J29" s="3" t="s">
        <v>277</v>
      </c>
      <c r="K29" s="5" t="n">
        <v>5</v>
      </c>
      <c r="L29" s="5" t="n">
        <v>7</v>
      </c>
      <c r="M29" s="5" t="n">
        <v>7</v>
      </c>
      <c r="N29" s="5" t="n">
        <v>2</v>
      </c>
      <c r="O29" s="5" t="n">
        <v>7</v>
      </c>
      <c r="P29" s="6" t="n">
        <f aca="false">IF(Weights!$B$7=0,0,ROUND((K29*Weights!$B$2+L29*Weights!$B$3+M29*Weights!$B$4+N29*Weights!$B$5+O29*Weights!$B$6)/Weights!$B$7,2))</f>
        <v>5.75</v>
      </c>
      <c r="Q29" s="7" t="str">
        <f aca="false">IF(P29&gt;=Weights!$B$11,"A",IF(P29&gt;=Weights!$B$12,"B","C"))</f>
        <v>B</v>
      </c>
      <c r="R29" s="3" t="s">
        <v>278</v>
      </c>
      <c r="S29" s="3" t="s">
        <v>279</v>
      </c>
      <c r="T29" s="2" t="s">
        <v>31</v>
      </c>
      <c r="U29" s="3" t="s">
        <v>280</v>
      </c>
    </row>
    <row r="30" customFormat="false" ht="35.05" hidden="false" customHeight="false" outlineLevel="0" collapsed="false">
      <c r="A30" s="2" t="n">
        <f aca="false">RANK(P30,$P$2:$P$85,0)</f>
        <v>28</v>
      </c>
      <c r="B30" s="3" t="s">
        <v>281</v>
      </c>
      <c r="C30" s="3" t="s">
        <v>282</v>
      </c>
      <c r="D30" s="3" t="s">
        <v>35</v>
      </c>
      <c r="E30" s="3" t="s">
        <v>283</v>
      </c>
      <c r="F30" s="3" t="s">
        <v>284</v>
      </c>
      <c r="G30" s="3" t="s">
        <v>285</v>
      </c>
      <c r="H30" s="3" t="s">
        <v>251</v>
      </c>
      <c r="I30" s="4" t="n">
        <v>4037</v>
      </c>
      <c r="J30" s="3" t="s">
        <v>286</v>
      </c>
      <c r="K30" s="5" t="n">
        <v>5</v>
      </c>
      <c r="L30" s="5" t="n">
        <v>5</v>
      </c>
      <c r="M30" s="5" t="n">
        <v>5</v>
      </c>
      <c r="N30" s="5" t="n">
        <v>9</v>
      </c>
      <c r="O30" s="5" t="n">
        <v>6</v>
      </c>
      <c r="P30" s="6" t="n">
        <f aca="false">IF(Weights!$B$7=0,0,ROUND((K30*Weights!$B$2+L30*Weights!$B$3+M30*Weights!$B$4+N30*Weights!$B$5+O30*Weights!$B$6)/Weights!$B$7,2))</f>
        <v>5.75</v>
      </c>
      <c r="Q30" s="7" t="str">
        <f aca="false">IF(P30&gt;=Weights!$B$11,"A",IF(P30&gt;=Weights!$B$12,"B","C"))</f>
        <v>B</v>
      </c>
      <c r="R30" s="3" t="s">
        <v>287</v>
      </c>
      <c r="S30" s="3" t="s">
        <v>288</v>
      </c>
      <c r="T30" s="2" t="s">
        <v>43</v>
      </c>
      <c r="U30" s="3" t="s">
        <v>289</v>
      </c>
    </row>
    <row r="31" customFormat="false" ht="35.05" hidden="false" customHeight="false" outlineLevel="0" collapsed="false">
      <c r="A31" s="2" t="n">
        <f aca="false">RANK(P31,$P$2:$P$85,0)</f>
        <v>30</v>
      </c>
      <c r="B31" s="3" t="s">
        <v>290</v>
      </c>
      <c r="C31" s="3" t="s">
        <v>291</v>
      </c>
      <c r="D31" s="3" t="s">
        <v>35</v>
      </c>
      <c r="E31" s="3" t="s">
        <v>292</v>
      </c>
      <c r="F31" s="3" t="s">
        <v>293</v>
      </c>
      <c r="G31" s="3" t="s">
        <v>294</v>
      </c>
      <c r="H31" s="3" t="s">
        <v>88</v>
      </c>
      <c r="I31" s="4" t="n">
        <v>3811</v>
      </c>
      <c r="J31" s="3" t="s">
        <v>295</v>
      </c>
      <c r="K31" s="5" t="n">
        <v>5</v>
      </c>
      <c r="L31" s="5" t="n">
        <v>6</v>
      </c>
      <c r="M31" s="5" t="n">
        <v>8</v>
      </c>
      <c r="N31" s="5" t="n">
        <v>3</v>
      </c>
      <c r="O31" s="5" t="n">
        <v>6</v>
      </c>
      <c r="P31" s="6" t="n">
        <f aca="false">IF(Weights!$B$7=0,0,ROUND((K31*Weights!$B$2+L31*Weights!$B$3+M31*Weights!$B$4+N31*Weights!$B$5+O31*Weights!$B$6)/Weights!$B$7,2))</f>
        <v>5.7</v>
      </c>
      <c r="Q31" s="7" t="str">
        <f aca="false">IF(P31&gt;=Weights!$B$11,"A",IF(P31&gt;=Weights!$B$12,"B","C"))</f>
        <v>B</v>
      </c>
      <c r="R31" s="3" t="s">
        <v>296</v>
      </c>
      <c r="S31" s="3" t="s">
        <v>297</v>
      </c>
      <c r="T31" s="2" t="s">
        <v>31</v>
      </c>
      <c r="U31" s="3" t="s">
        <v>298</v>
      </c>
    </row>
    <row r="32" customFormat="false" ht="35.05" hidden="false" customHeight="false" outlineLevel="0" collapsed="false">
      <c r="A32" s="2" t="n">
        <f aca="false">RANK(P32,$P$2:$P$85,0)</f>
        <v>30</v>
      </c>
      <c r="B32" s="3" t="s">
        <v>299</v>
      </c>
      <c r="C32" s="3" t="s">
        <v>300</v>
      </c>
      <c r="D32" s="3" t="s">
        <v>35</v>
      </c>
      <c r="E32" s="3" t="s">
        <v>301</v>
      </c>
      <c r="F32" s="3" t="s">
        <v>302</v>
      </c>
      <c r="G32" s="3" t="s">
        <v>303</v>
      </c>
      <c r="H32" s="3" t="s">
        <v>88</v>
      </c>
      <c r="I32" s="4" t="n">
        <v>5027</v>
      </c>
      <c r="J32" s="3" t="s">
        <v>304</v>
      </c>
      <c r="K32" s="5" t="n">
        <v>6</v>
      </c>
      <c r="L32" s="5" t="n">
        <v>5</v>
      </c>
      <c r="M32" s="5" t="n">
        <v>8</v>
      </c>
      <c r="N32" s="5" t="n">
        <v>3</v>
      </c>
      <c r="O32" s="5" t="n">
        <v>6</v>
      </c>
      <c r="P32" s="6" t="n">
        <f aca="false">IF(Weights!$B$7=0,0,ROUND((K32*Weights!$B$2+L32*Weights!$B$3+M32*Weights!$B$4+N32*Weights!$B$5+O32*Weights!$B$6)/Weights!$B$7,2))</f>
        <v>5.7</v>
      </c>
      <c r="Q32" s="7" t="str">
        <f aca="false">IF(P32&gt;=Weights!$B$11,"A",IF(P32&gt;=Weights!$B$12,"B","C"))</f>
        <v>B</v>
      </c>
      <c r="R32" s="3" t="s">
        <v>305</v>
      </c>
      <c r="S32" s="3" t="s">
        <v>306</v>
      </c>
      <c r="T32" s="2" t="s">
        <v>43</v>
      </c>
      <c r="U32" s="3" t="s">
        <v>307</v>
      </c>
    </row>
    <row r="33" customFormat="false" ht="23.85" hidden="false" customHeight="false" outlineLevel="0" collapsed="false">
      <c r="A33" s="2" t="n">
        <f aca="false">RANK(P33,$P$2:$P$85,0)</f>
        <v>32</v>
      </c>
      <c r="B33" s="3" t="s">
        <v>308</v>
      </c>
      <c r="C33" s="3" t="s">
        <v>309</v>
      </c>
      <c r="D33" s="3" t="s">
        <v>35</v>
      </c>
      <c r="E33" s="3" t="s">
        <v>310</v>
      </c>
      <c r="F33" s="3" t="s">
        <v>311</v>
      </c>
      <c r="G33" s="3" t="s">
        <v>312</v>
      </c>
      <c r="H33" s="3" t="s">
        <v>88</v>
      </c>
      <c r="I33" s="4"/>
      <c r="J33" s="3" t="s">
        <v>62</v>
      </c>
      <c r="K33" s="5" t="n">
        <v>5</v>
      </c>
      <c r="L33" s="5" t="n">
        <v>6</v>
      </c>
      <c r="M33" s="5" t="n">
        <v>7</v>
      </c>
      <c r="N33" s="5" t="n">
        <v>4</v>
      </c>
      <c r="O33" s="5" t="n">
        <v>6</v>
      </c>
      <c r="P33" s="6" t="n">
        <f aca="false">IF(Weights!$B$7=0,0,ROUND((K33*Weights!$B$2+L33*Weights!$B$3+M33*Weights!$B$4+N33*Weights!$B$5+O33*Weights!$B$6)/Weights!$B$7,2))</f>
        <v>5.65</v>
      </c>
      <c r="Q33" s="7" t="str">
        <f aca="false">IF(P33&gt;=Weights!$B$11,"A",IF(P33&gt;=Weights!$B$12,"B","C"))</f>
        <v>B</v>
      </c>
      <c r="R33" s="3" t="s">
        <v>313</v>
      </c>
      <c r="S33" s="3" t="s">
        <v>314</v>
      </c>
      <c r="T33" s="2" t="s">
        <v>31</v>
      </c>
      <c r="U33" s="3" t="s">
        <v>315</v>
      </c>
    </row>
    <row r="34" customFormat="false" ht="35.05" hidden="false" customHeight="false" outlineLevel="0" collapsed="false">
      <c r="A34" s="2" t="n">
        <f aca="false">RANK(P34,$P$2:$P$85,0)</f>
        <v>33</v>
      </c>
      <c r="B34" s="3" t="s">
        <v>316</v>
      </c>
      <c r="C34" s="3" t="s">
        <v>317</v>
      </c>
      <c r="D34" s="3" t="s">
        <v>35</v>
      </c>
      <c r="E34" s="3" t="s">
        <v>318</v>
      </c>
      <c r="F34" s="3" t="s">
        <v>88</v>
      </c>
      <c r="G34" s="3" t="s">
        <v>319</v>
      </c>
      <c r="H34" s="3" t="s">
        <v>88</v>
      </c>
      <c r="I34" s="4"/>
      <c r="J34" s="3" t="s">
        <v>62</v>
      </c>
      <c r="K34" s="5" t="n">
        <v>4</v>
      </c>
      <c r="L34" s="5" t="n">
        <v>6</v>
      </c>
      <c r="M34" s="5" t="n">
        <v>8</v>
      </c>
      <c r="N34" s="5" t="n">
        <v>4</v>
      </c>
      <c r="O34" s="5" t="n">
        <v>6</v>
      </c>
      <c r="P34" s="6" t="n">
        <f aca="false">IF(Weights!$B$7=0,0,ROUND((K34*Weights!$B$2+L34*Weights!$B$3+M34*Weights!$B$4+N34*Weights!$B$5+O34*Weights!$B$6)/Weights!$B$7,2))</f>
        <v>5.6</v>
      </c>
      <c r="Q34" s="7" t="str">
        <f aca="false">IF(P34&gt;=Weights!$B$11,"A",IF(P34&gt;=Weights!$B$12,"B","C"))</f>
        <v>B</v>
      </c>
      <c r="R34" s="3" t="s">
        <v>320</v>
      </c>
      <c r="S34" s="3" t="s">
        <v>321</v>
      </c>
      <c r="T34" s="2" t="s">
        <v>31</v>
      </c>
      <c r="U34" s="3" t="s">
        <v>322</v>
      </c>
    </row>
    <row r="35" customFormat="false" ht="23.85" hidden="false" customHeight="false" outlineLevel="0" collapsed="false">
      <c r="A35" s="2" t="n">
        <f aca="false">RANK(P35,$P$2:$P$85,0)</f>
        <v>34</v>
      </c>
      <c r="B35" s="3" t="s">
        <v>323</v>
      </c>
      <c r="C35" s="3" t="s">
        <v>191</v>
      </c>
      <c r="D35" s="3" t="s">
        <v>35</v>
      </c>
      <c r="E35" s="3" t="s">
        <v>324</v>
      </c>
      <c r="F35" s="3" t="s">
        <v>325</v>
      </c>
      <c r="G35" s="3" t="s">
        <v>116</v>
      </c>
      <c r="H35" s="3" t="s">
        <v>88</v>
      </c>
      <c r="I35" s="4" t="n">
        <v>2262</v>
      </c>
      <c r="J35" s="3" t="s">
        <v>326</v>
      </c>
      <c r="K35" s="5" t="n">
        <v>3</v>
      </c>
      <c r="L35" s="5" t="n">
        <v>6</v>
      </c>
      <c r="M35" s="5" t="n">
        <v>9</v>
      </c>
      <c r="N35" s="5" t="n">
        <v>2</v>
      </c>
      <c r="O35" s="5" t="n">
        <v>8</v>
      </c>
      <c r="P35" s="6" t="n">
        <f aca="false">IF(Weights!$B$7=0,0,ROUND((K35*Weights!$B$2+L35*Weights!$B$3+M35*Weights!$B$4+N35*Weights!$B$5+O35*Weights!$B$6)/Weights!$B$7,2))</f>
        <v>5.55</v>
      </c>
      <c r="Q35" s="7" t="str">
        <f aca="false">IF(P35&gt;=Weights!$B$11,"A",IF(P35&gt;=Weights!$B$12,"B","C"))</f>
        <v>B</v>
      </c>
      <c r="R35" s="3" t="s">
        <v>327</v>
      </c>
      <c r="S35" s="3" t="s">
        <v>328</v>
      </c>
      <c r="T35" s="2" t="s">
        <v>31</v>
      </c>
      <c r="U35" s="3" t="s">
        <v>329</v>
      </c>
    </row>
    <row r="36" customFormat="false" ht="23.85" hidden="false" customHeight="false" outlineLevel="0" collapsed="false">
      <c r="A36" s="2" t="n">
        <f aca="false">RANK(P36,$P$2:$P$85,0)</f>
        <v>34</v>
      </c>
      <c r="B36" s="3" t="s">
        <v>330</v>
      </c>
      <c r="C36" s="3" t="s">
        <v>331</v>
      </c>
      <c r="D36" s="3" t="s">
        <v>35</v>
      </c>
      <c r="E36" s="3" t="s">
        <v>332</v>
      </c>
      <c r="F36" s="3" t="s">
        <v>88</v>
      </c>
      <c r="G36" s="3" t="s">
        <v>333</v>
      </c>
      <c r="H36" s="3" t="s">
        <v>334</v>
      </c>
      <c r="I36" s="4"/>
      <c r="J36" s="3" t="s">
        <v>62</v>
      </c>
      <c r="K36" s="5" t="n">
        <v>5</v>
      </c>
      <c r="L36" s="5" t="n">
        <v>5</v>
      </c>
      <c r="M36" s="5" t="n">
        <v>7</v>
      </c>
      <c r="N36" s="5" t="n">
        <v>5</v>
      </c>
      <c r="O36" s="5" t="n">
        <v>6</v>
      </c>
      <c r="P36" s="6" t="n">
        <f aca="false">IF(Weights!$B$7=0,0,ROUND((K36*Weights!$B$2+L36*Weights!$B$3+M36*Weights!$B$4+N36*Weights!$B$5+O36*Weights!$B$6)/Weights!$B$7,2))</f>
        <v>5.55</v>
      </c>
      <c r="Q36" s="7" t="str">
        <f aca="false">IF(P36&gt;=Weights!$B$11,"A",IF(P36&gt;=Weights!$B$12,"B","C"))</f>
        <v>B</v>
      </c>
      <c r="R36" s="3" t="s">
        <v>335</v>
      </c>
      <c r="S36" s="3" t="s">
        <v>336</v>
      </c>
      <c r="T36" s="2" t="s">
        <v>31</v>
      </c>
      <c r="U36" s="3" t="s">
        <v>337</v>
      </c>
    </row>
    <row r="37" customFormat="false" ht="23.85" hidden="false" customHeight="false" outlineLevel="0" collapsed="false">
      <c r="A37" s="2" t="n">
        <f aca="false">RANK(P37,$P$2:$P$85,0)</f>
        <v>34</v>
      </c>
      <c r="B37" s="3" t="s">
        <v>338</v>
      </c>
      <c r="C37" s="3" t="s">
        <v>300</v>
      </c>
      <c r="D37" s="3" t="s">
        <v>35</v>
      </c>
      <c r="E37" s="3" t="s">
        <v>339</v>
      </c>
      <c r="F37" s="3" t="s">
        <v>340</v>
      </c>
      <c r="G37" s="3" t="s">
        <v>341</v>
      </c>
      <c r="H37" s="3" t="s">
        <v>88</v>
      </c>
      <c r="I37" s="4" t="n">
        <v>4972</v>
      </c>
      <c r="J37" s="3" t="s">
        <v>342</v>
      </c>
      <c r="K37" s="5" t="n">
        <v>6</v>
      </c>
      <c r="L37" s="5" t="n">
        <v>5</v>
      </c>
      <c r="M37" s="5" t="n">
        <v>8</v>
      </c>
      <c r="N37" s="5" t="n">
        <v>3</v>
      </c>
      <c r="O37" s="5" t="n">
        <v>5</v>
      </c>
      <c r="P37" s="6" t="n">
        <f aca="false">IF(Weights!$B$7=0,0,ROUND((K37*Weights!$B$2+L37*Weights!$B$3+M37*Weights!$B$4+N37*Weights!$B$5+O37*Weights!$B$6)/Weights!$B$7,2))</f>
        <v>5.55</v>
      </c>
      <c r="Q37" s="7" t="str">
        <f aca="false">IF(P37&gt;=Weights!$B$11,"A",IF(P37&gt;=Weights!$B$12,"B","C"))</f>
        <v>B</v>
      </c>
      <c r="R37" s="3" t="s">
        <v>343</v>
      </c>
      <c r="S37" s="3" t="s">
        <v>344</v>
      </c>
      <c r="T37" s="2" t="s">
        <v>43</v>
      </c>
      <c r="U37" s="3" t="s">
        <v>345</v>
      </c>
    </row>
    <row r="38" customFormat="false" ht="35.05" hidden="false" customHeight="false" outlineLevel="0" collapsed="false">
      <c r="A38" s="2" t="n">
        <f aca="false">RANK(P38,$P$2:$P$85,0)</f>
        <v>34</v>
      </c>
      <c r="B38" s="3" t="s">
        <v>346</v>
      </c>
      <c r="C38" s="3" t="s">
        <v>151</v>
      </c>
      <c r="D38" s="3" t="s">
        <v>47</v>
      </c>
      <c r="E38" s="3" t="s">
        <v>347</v>
      </c>
      <c r="F38" s="3" t="s">
        <v>88</v>
      </c>
      <c r="G38" s="3" t="s">
        <v>348</v>
      </c>
      <c r="H38" s="3" t="s">
        <v>88</v>
      </c>
      <c r="I38" s="4"/>
      <c r="J38" s="3" t="s">
        <v>62</v>
      </c>
      <c r="K38" s="5" t="n">
        <v>5</v>
      </c>
      <c r="L38" s="5" t="n">
        <v>5</v>
      </c>
      <c r="M38" s="5" t="n">
        <v>7</v>
      </c>
      <c r="N38" s="5" t="n">
        <v>5</v>
      </c>
      <c r="O38" s="5" t="n">
        <v>6</v>
      </c>
      <c r="P38" s="6" t="n">
        <f aca="false">IF(Weights!$B$7=0,0,ROUND((K38*Weights!$B$2+L38*Weights!$B$3+M38*Weights!$B$4+N38*Weights!$B$5+O38*Weights!$B$6)/Weights!$B$7,2))</f>
        <v>5.55</v>
      </c>
      <c r="Q38" s="7" t="str">
        <f aca="false">IF(P38&gt;=Weights!$B$11,"A",IF(P38&gt;=Weights!$B$12,"B","C"))</f>
        <v>B</v>
      </c>
      <c r="R38" s="3" t="s">
        <v>349</v>
      </c>
      <c r="S38" s="3" t="s">
        <v>350</v>
      </c>
      <c r="T38" s="2" t="s">
        <v>31</v>
      </c>
      <c r="U38" s="3" t="s">
        <v>351</v>
      </c>
    </row>
    <row r="39" customFormat="false" ht="23.85" hidden="false" customHeight="false" outlineLevel="0" collapsed="false">
      <c r="A39" s="2" t="n">
        <f aca="false">RANK(P39,$P$2:$P$85,0)</f>
        <v>34</v>
      </c>
      <c r="B39" s="3" t="s">
        <v>352</v>
      </c>
      <c r="C39" s="3" t="s">
        <v>291</v>
      </c>
      <c r="D39" s="3" t="s">
        <v>35</v>
      </c>
      <c r="E39" s="3" t="s">
        <v>353</v>
      </c>
      <c r="F39" s="3" t="s">
        <v>354</v>
      </c>
      <c r="G39" s="3" t="s">
        <v>355</v>
      </c>
      <c r="H39" s="3" t="s">
        <v>88</v>
      </c>
      <c r="I39" s="4" t="n">
        <v>5138</v>
      </c>
      <c r="J39" s="3" t="s">
        <v>356</v>
      </c>
      <c r="K39" s="5" t="n">
        <v>6</v>
      </c>
      <c r="L39" s="5" t="n">
        <v>5</v>
      </c>
      <c r="M39" s="5" t="n">
        <v>8</v>
      </c>
      <c r="N39" s="5" t="n">
        <v>2</v>
      </c>
      <c r="O39" s="5" t="n">
        <v>6</v>
      </c>
      <c r="P39" s="6" t="n">
        <f aca="false">IF(Weights!$B$7=0,0,ROUND((K39*Weights!$B$2+L39*Weights!$B$3+M39*Weights!$B$4+N39*Weights!$B$5+O39*Weights!$B$6)/Weights!$B$7,2))</f>
        <v>5.55</v>
      </c>
      <c r="Q39" s="7" t="str">
        <f aca="false">IF(P39&gt;=Weights!$B$11,"A",IF(P39&gt;=Weights!$B$12,"B","C"))</f>
        <v>B</v>
      </c>
      <c r="R39" s="3" t="s">
        <v>357</v>
      </c>
      <c r="S39" s="3" t="s">
        <v>358</v>
      </c>
      <c r="T39" s="2" t="s">
        <v>31</v>
      </c>
      <c r="U39" s="3" t="s">
        <v>359</v>
      </c>
    </row>
    <row r="40" customFormat="false" ht="46.25" hidden="false" customHeight="false" outlineLevel="0" collapsed="false">
      <c r="A40" s="2" t="n">
        <f aca="false">RANK(P40,$P$2:$P$85,0)</f>
        <v>34</v>
      </c>
      <c r="B40" s="3" t="s">
        <v>360</v>
      </c>
      <c r="C40" s="3" t="s">
        <v>361</v>
      </c>
      <c r="D40" s="3" t="s">
        <v>35</v>
      </c>
      <c r="E40" s="3" t="s">
        <v>362</v>
      </c>
      <c r="F40" s="3" t="s">
        <v>88</v>
      </c>
      <c r="G40" s="3" t="s">
        <v>363</v>
      </c>
      <c r="H40" s="3" t="s">
        <v>364</v>
      </c>
      <c r="I40" s="4" t="n">
        <v>3830</v>
      </c>
      <c r="J40" s="3" t="s">
        <v>156</v>
      </c>
      <c r="K40" s="5" t="n">
        <v>6</v>
      </c>
      <c r="L40" s="5" t="n">
        <v>5</v>
      </c>
      <c r="M40" s="5" t="n">
        <v>5</v>
      </c>
      <c r="N40" s="5" t="n">
        <v>6</v>
      </c>
      <c r="O40" s="5" t="n">
        <v>6</v>
      </c>
      <c r="P40" s="6" t="n">
        <f aca="false">IF(Weights!$B$7=0,0,ROUND((K40*Weights!$B$2+L40*Weights!$B$3+M40*Weights!$B$4+N40*Weights!$B$5+O40*Weights!$B$6)/Weights!$B$7,2))</f>
        <v>5.55</v>
      </c>
      <c r="Q40" s="7" t="str">
        <f aca="false">IF(P40&gt;=Weights!$B$11,"A",IF(P40&gt;=Weights!$B$12,"B","C"))</f>
        <v>B</v>
      </c>
      <c r="R40" s="3" t="s">
        <v>365</v>
      </c>
      <c r="S40" s="3" t="s">
        <v>366</v>
      </c>
      <c r="T40" s="2" t="s">
        <v>43</v>
      </c>
      <c r="U40" s="3" t="s">
        <v>367</v>
      </c>
    </row>
    <row r="41" customFormat="false" ht="35.05" hidden="false" customHeight="false" outlineLevel="0" collapsed="false">
      <c r="A41" s="2" t="n">
        <f aca="false">RANK(P41,$P$2:$P$85,0)</f>
        <v>40</v>
      </c>
      <c r="B41" s="3" t="s">
        <v>368</v>
      </c>
      <c r="C41" s="3" t="s">
        <v>369</v>
      </c>
      <c r="D41" s="3" t="s">
        <v>35</v>
      </c>
      <c r="E41" s="3" t="s">
        <v>370</v>
      </c>
      <c r="F41" s="3" t="s">
        <v>371</v>
      </c>
      <c r="G41" s="3" t="s">
        <v>372</v>
      </c>
      <c r="H41" s="3" t="s">
        <v>88</v>
      </c>
      <c r="I41" s="4"/>
      <c r="J41" s="3" t="s">
        <v>62</v>
      </c>
      <c r="K41" s="5" t="n">
        <v>5</v>
      </c>
      <c r="L41" s="5" t="n">
        <v>6</v>
      </c>
      <c r="M41" s="5" t="n">
        <v>7</v>
      </c>
      <c r="N41" s="5" t="n">
        <v>2</v>
      </c>
      <c r="O41" s="5" t="n">
        <v>7</v>
      </c>
      <c r="P41" s="6" t="n">
        <f aca="false">IF(Weights!$B$7=0,0,ROUND((K41*Weights!$B$2+L41*Weights!$B$3+M41*Weights!$B$4+N41*Weights!$B$5+O41*Weights!$B$6)/Weights!$B$7,2))</f>
        <v>5.5</v>
      </c>
      <c r="Q41" s="7" t="str">
        <f aca="false">IF(P41&gt;=Weights!$B$11,"A",IF(P41&gt;=Weights!$B$12,"B","C"))</f>
        <v>B</v>
      </c>
      <c r="R41" s="3" t="s">
        <v>373</v>
      </c>
      <c r="S41" s="3" t="s">
        <v>374</v>
      </c>
      <c r="T41" s="2" t="s">
        <v>31</v>
      </c>
      <c r="U41" s="3" t="s">
        <v>375</v>
      </c>
    </row>
    <row r="42" customFormat="false" ht="35.05" hidden="false" customHeight="false" outlineLevel="0" collapsed="false">
      <c r="A42" s="2" t="n">
        <f aca="false">RANK(P42,$P$2:$P$85,0)</f>
        <v>40</v>
      </c>
      <c r="B42" s="3" t="s">
        <v>376</v>
      </c>
      <c r="C42" s="3" t="s">
        <v>377</v>
      </c>
      <c r="D42" s="3" t="s">
        <v>35</v>
      </c>
      <c r="E42" s="3" t="s">
        <v>378</v>
      </c>
      <c r="F42" s="3" t="s">
        <v>311</v>
      </c>
      <c r="G42" s="3" t="s">
        <v>379</v>
      </c>
      <c r="H42" s="3" t="s">
        <v>380</v>
      </c>
      <c r="I42" s="4"/>
      <c r="J42" s="3" t="s">
        <v>62</v>
      </c>
      <c r="K42" s="5" t="n">
        <v>6</v>
      </c>
      <c r="L42" s="5" t="n">
        <v>5</v>
      </c>
      <c r="M42" s="5" t="n">
        <v>7</v>
      </c>
      <c r="N42" s="5" t="n">
        <v>3</v>
      </c>
      <c r="O42" s="5" t="n">
        <v>6</v>
      </c>
      <c r="P42" s="6" t="n">
        <f aca="false">IF(Weights!$B$7=0,0,ROUND((K42*Weights!$B$2+L42*Weights!$B$3+M42*Weights!$B$4+N42*Weights!$B$5+O42*Weights!$B$6)/Weights!$B$7,2))</f>
        <v>5.5</v>
      </c>
      <c r="Q42" s="7" t="str">
        <f aca="false">IF(P42&gt;=Weights!$B$11,"A",IF(P42&gt;=Weights!$B$12,"B","C"))</f>
        <v>B</v>
      </c>
      <c r="R42" s="3" t="s">
        <v>381</v>
      </c>
      <c r="S42" s="3" t="s">
        <v>382</v>
      </c>
      <c r="T42" s="2" t="s">
        <v>31</v>
      </c>
      <c r="U42" s="3" t="s">
        <v>383</v>
      </c>
    </row>
    <row r="43" customFormat="false" ht="23.85" hidden="false" customHeight="false" outlineLevel="0" collapsed="false">
      <c r="A43" s="2" t="n">
        <f aca="false">RANK(P43,$P$2:$P$85,0)</f>
        <v>42</v>
      </c>
      <c r="B43" s="3" t="s">
        <v>384</v>
      </c>
      <c r="C43" s="3" t="s">
        <v>291</v>
      </c>
      <c r="D43" s="3" t="s">
        <v>35</v>
      </c>
      <c r="E43" s="3" t="s">
        <v>385</v>
      </c>
      <c r="F43" s="3" t="s">
        <v>386</v>
      </c>
      <c r="G43" s="3" t="s">
        <v>294</v>
      </c>
      <c r="H43" s="3" t="s">
        <v>88</v>
      </c>
      <c r="I43" s="4" t="n">
        <v>2549</v>
      </c>
      <c r="J43" s="3" t="s">
        <v>387</v>
      </c>
      <c r="K43" s="5" t="n">
        <v>4</v>
      </c>
      <c r="L43" s="5" t="n">
        <v>6</v>
      </c>
      <c r="M43" s="5" t="n">
        <v>8</v>
      </c>
      <c r="N43" s="5" t="n">
        <v>3</v>
      </c>
      <c r="O43" s="5" t="n">
        <v>6</v>
      </c>
      <c r="P43" s="6" t="n">
        <f aca="false">IF(Weights!$B$7=0,0,ROUND((K43*Weights!$B$2+L43*Weights!$B$3+M43*Weights!$B$4+N43*Weights!$B$5+O43*Weights!$B$6)/Weights!$B$7,2))</f>
        <v>5.45</v>
      </c>
      <c r="Q43" s="7" t="str">
        <f aca="false">IF(P43&gt;=Weights!$B$11,"A",IF(P43&gt;=Weights!$B$12,"B","C"))</f>
        <v>B</v>
      </c>
      <c r="R43" s="3" t="s">
        <v>388</v>
      </c>
      <c r="S43" s="3" t="s">
        <v>389</v>
      </c>
      <c r="T43" s="2" t="s">
        <v>31</v>
      </c>
      <c r="U43" s="3" t="s">
        <v>390</v>
      </c>
    </row>
    <row r="44" customFormat="false" ht="23.85" hidden="false" customHeight="false" outlineLevel="0" collapsed="false">
      <c r="A44" s="2" t="n">
        <f aca="false">RANK(P44,$P$2:$P$85,0)</f>
        <v>42</v>
      </c>
      <c r="B44" s="3" t="s">
        <v>391</v>
      </c>
      <c r="C44" s="3" t="s">
        <v>392</v>
      </c>
      <c r="D44" s="3" t="s">
        <v>35</v>
      </c>
      <c r="E44" s="3" t="s">
        <v>393</v>
      </c>
      <c r="F44" s="3" t="s">
        <v>88</v>
      </c>
      <c r="G44" s="3" t="s">
        <v>394</v>
      </c>
      <c r="H44" s="3" t="s">
        <v>88</v>
      </c>
      <c r="I44" s="4"/>
      <c r="J44" s="3" t="s">
        <v>62</v>
      </c>
      <c r="K44" s="5" t="n">
        <v>5</v>
      </c>
      <c r="L44" s="5" t="n">
        <v>5</v>
      </c>
      <c r="M44" s="5" t="n">
        <v>8</v>
      </c>
      <c r="N44" s="5" t="n">
        <v>3</v>
      </c>
      <c r="O44" s="5" t="n">
        <v>6</v>
      </c>
      <c r="P44" s="6" t="n">
        <f aca="false">IF(Weights!$B$7=0,0,ROUND((K44*Weights!$B$2+L44*Weights!$B$3+M44*Weights!$B$4+N44*Weights!$B$5+O44*Weights!$B$6)/Weights!$B$7,2))</f>
        <v>5.45</v>
      </c>
      <c r="Q44" s="7" t="str">
        <f aca="false">IF(P44&gt;=Weights!$B$11,"A",IF(P44&gt;=Weights!$B$12,"B","C"))</f>
        <v>B</v>
      </c>
      <c r="R44" s="3" t="s">
        <v>395</v>
      </c>
      <c r="S44" s="3" t="s">
        <v>396</v>
      </c>
      <c r="T44" s="2" t="s">
        <v>31</v>
      </c>
      <c r="U44" s="3" t="s">
        <v>397</v>
      </c>
    </row>
    <row r="45" customFormat="false" ht="23.85" hidden="false" customHeight="false" outlineLevel="0" collapsed="false">
      <c r="A45" s="2" t="n">
        <f aca="false">RANK(P45,$P$2:$P$85,0)</f>
        <v>42</v>
      </c>
      <c r="B45" s="3" t="s">
        <v>398</v>
      </c>
      <c r="C45" s="3" t="s">
        <v>399</v>
      </c>
      <c r="D45" s="3" t="s">
        <v>35</v>
      </c>
      <c r="E45" s="3" t="s">
        <v>400</v>
      </c>
      <c r="F45" s="3" t="s">
        <v>88</v>
      </c>
      <c r="G45" s="3" t="s">
        <v>401</v>
      </c>
      <c r="H45" s="3" t="s">
        <v>88</v>
      </c>
      <c r="I45" s="4"/>
      <c r="J45" s="3" t="s">
        <v>62</v>
      </c>
      <c r="K45" s="5" t="n">
        <v>5</v>
      </c>
      <c r="L45" s="5" t="n">
        <v>5</v>
      </c>
      <c r="M45" s="5" t="n">
        <v>8</v>
      </c>
      <c r="N45" s="5" t="n">
        <v>3</v>
      </c>
      <c r="O45" s="5" t="n">
        <v>6</v>
      </c>
      <c r="P45" s="6" t="n">
        <f aca="false">IF(Weights!$B$7=0,0,ROUND((K45*Weights!$B$2+L45*Weights!$B$3+M45*Weights!$B$4+N45*Weights!$B$5+O45*Weights!$B$6)/Weights!$B$7,2))</f>
        <v>5.45</v>
      </c>
      <c r="Q45" s="7" t="str">
        <f aca="false">IF(P45&gt;=Weights!$B$11,"A",IF(P45&gt;=Weights!$B$12,"B","C"))</f>
        <v>B</v>
      </c>
      <c r="R45" s="3" t="s">
        <v>402</v>
      </c>
      <c r="S45" s="3" t="s">
        <v>403</v>
      </c>
      <c r="T45" s="2" t="s">
        <v>31</v>
      </c>
      <c r="U45" s="3" t="s">
        <v>404</v>
      </c>
    </row>
    <row r="46" customFormat="false" ht="23.85" hidden="false" customHeight="false" outlineLevel="0" collapsed="false">
      <c r="A46" s="2" t="n">
        <f aca="false">RANK(P46,$P$2:$P$85,0)</f>
        <v>45</v>
      </c>
      <c r="B46" s="3" t="s">
        <v>405</v>
      </c>
      <c r="C46" s="3" t="s">
        <v>406</v>
      </c>
      <c r="D46" s="3" t="s">
        <v>407</v>
      </c>
      <c r="E46" s="3" t="s">
        <v>408</v>
      </c>
      <c r="F46" s="3" t="s">
        <v>409</v>
      </c>
      <c r="G46" s="3" t="s">
        <v>410</v>
      </c>
      <c r="H46" s="3" t="s">
        <v>88</v>
      </c>
      <c r="I46" s="4"/>
      <c r="J46" s="3" t="s">
        <v>62</v>
      </c>
      <c r="K46" s="5" t="n">
        <v>4</v>
      </c>
      <c r="L46" s="5" t="n">
        <v>5</v>
      </c>
      <c r="M46" s="5" t="n">
        <v>6</v>
      </c>
      <c r="N46" s="5" t="n">
        <v>6</v>
      </c>
      <c r="O46" s="5" t="n">
        <v>7</v>
      </c>
      <c r="P46" s="6" t="n">
        <f aca="false">IF(Weights!$B$7=0,0,ROUND((K46*Weights!$B$2+L46*Weights!$B$3+M46*Weights!$B$4+N46*Weights!$B$5+O46*Weights!$B$6)/Weights!$B$7,2))</f>
        <v>5.4</v>
      </c>
      <c r="Q46" s="7" t="str">
        <f aca="false">IF(P46&gt;=Weights!$B$11,"A",IF(P46&gt;=Weights!$B$12,"B","C"))</f>
        <v>B</v>
      </c>
      <c r="R46" s="3" t="s">
        <v>411</v>
      </c>
      <c r="S46" s="3" t="s">
        <v>412</v>
      </c>
      <c r="T46" s="2" t="s">
        <v>31</v>
      </c>
      <c r="U46" s="3" t="s">
        <v>413</v>
      </c>
    </row>
    <row r="47" customFormat="false" ht="23.85" hidden="false" customHeight="false" outlineLevel="0" collapsed="false">
      <c r="A47" s="2" t="n">
        <f aca="false">RANK(P47,$P$2:$P$85,0)</f>
        <v>46</v>
      </c>
      <c r="B47" s="3" t="s">
        <v>414</v>
      </c>
      <c r="C47" s="3" t="s">
        <v>415</v>
      </c>
      <c r="D47" s="3" t="s">
        <v>35</v>
      </c>
      <c r="E47" s="3" t="s">
        <v>416</v>
      </c>
      <c r="F47" s="3" t="s">
        <v>88</v>
      </c>
      <c r="G47" s="3" t="s">
        <v>417</v>
      </c>
      <c r="H47" s="3" t="s">
        <v>88</v>
      </c>
      <c r="I47" s="4"/>
      <c r="J47" s="3" t="s">
        <v>62</v>
      </c>
      <c r="K47" s="5" t="n">
        <v>3</v>
      </c>
      <c r="L47" s="5" t="n">
        <v>6</v>
      </c>
      <c r="M47" s="5" t="n">
        <v>8</v>
      </c>
      <c r="N47" s="5" t="n">
        <v>4</v>
      </c>
      <c r="O47" s="5" t="n">
        <v>6</v>
      </c>
      <c r="P47" s="6" t="n">
        <f aca="false">IF(Weights!$B$7=0,0,ROUND((K47*Weights!$B$2+L47*Weights!$B$3+M47*Weights!$B$4+N47*Weights!$B$5+O47*Weights!$B$6)/Weights!$B$7,2))</f>
        <v>5.35</v>
      </c>
      <c r="Q47" s="7" t="str">
        <f aca="false">IF(P47&gt;=Weights!$B$11,"A",IF(P47&gt;=Weights!$B$12,"B","C"))</f>
        <v>B</v>
      </c>
      <c r="R47" s="3" t="s">
        <v>418</v>
      </c>
      <c r="S47" s="3" t="s">
        <v>419</v>
      </c>
      <c r="T47" s="2" t="s">
        <v>218</v>
      </c>
      <c r="U47" s="3" t="s">
        <v>420</v>
      </c>
    </row>
    <row r="48" customFormat="false" ht="23.85" hidden="false" customHeight="false" outlineLevel="0" collapsed="false">
      <c r="A48" s="2" t="n">
        <f aca="false">RANK(P48,$P$2:$P$85,0)</f>
        <v>47</v>
      </c>
      <c r="B48" s="3" t="s">
        <v>421</v>
      </c>
      <c r="C48" s="3" t="s">
        <v>422</v>
      </c>
      <c r="D48" s="3" t="s">
        <v>35</v>
      </c>
      <c r="E48" s="3" t="s">
        <v>423</v>
      </c>
      <c r="F48" s="3" t="s">
        <v>424</v>
      </c>
      <c r="G48" s="3" t="s">
        <v>303</v>
      </c>
      <c r="H48" s="3" t="s">
        <v>88</v>
      </c>
      <c r="I48" s="4"/>
      <c r="J48" s="3" t="s">
        <v>425</v>
      </c>
      <c r="K48" s="5" t="n">
        <v>5</v>
      </c>
      <c r="L48" s="5" t="n">
        <v>5</v>
      </c>
      <c r="M48" s="5" t="n">
        <v>8</v>
      </c>
      <c r="N48" s="5" t="n">
        <v>2</v>
      </c>
      <c r="O48" s="5" t="n">
        <v>6</v>
      </c>
      <c r="P48" s="6" t="n">
        <f aca="false">IF(Weights!$B$7=0,0,ROUND((K48*Weights!$B$2+L48*Weights!$B$3+M48*Weights!$B$4+N48*Weights!$B$5+O48*Weights!$B$6)/Weights!$B$7,2))</f>
        <v>5.3</v>
      </c>
      <c r="Q48" s="7" t="str">
        <f aca="false">IF(P48&gt;=Weights!$B$11,"A",IF(P48&gt;=Weights!$B$12,"B","C"))</f>
        <v>B</v>
      </c>
      <c r="R48" s="3" t="s">
        <v>426</v>
      </c>
      <c r="S48" s="3" t="s">
        <v>427</v>
      </c>
      <c r="T48" s="2" t="s">
        <v>31</v>
      </c>
      <c r="U48" s="3" t="s">
        <v>428</v>
      </c>
    </row>
    <row r="49" customFormat="false" ht="23.85" hidden="false" customHeight="false" outlineLevel="0" collapsed="false">
      <c r="A49" s="2" t="n">
        <f aca="false">RANK(P49,$P$2:$P$85,0)</f>
        <v>48</v>
      </c>
      <c r="B49" s="3" t="s">
        <v>429</v>
      </c>
      <c r="C49" s="3" t="s">
        <v>430</v>
      </c>
      <c r="D49" s="3" t="s">
        <v>35</v>
      </c>
      <c r="E49" s="3" t="s">
        <v>431</v>
      </c>
      <c r="F49" s="3" t="s">
        <v>311</v>
      </c>
      <c r="G49" s="3" t="s">
        <v>116</v>
      </c>
      <c r="H49" s="3" t="s">
        <v>88</v>
      </c>
      <c r="I49" s="4"/>
      <c r="J49" s="3" t="s">
        <v>62</v>
      </c>
      <c r="K49" s="5" t="n">
        <v>4</v>
      </c>
      <c r="L49" s="5" t="n">
        <v>5</v>
      </c>
      <c r="M49" s="5" t="n">
        <v>9</v>
      </c>
      <c r="N49" s="5" t="n">
        <v>2</v>
      </c>
      <c r="O49" s="5" t="n">
        <v>6</v>
      </c>
      <c r="P49" s="6" t="n">
        <f aca="false">IF(Weights!$B$7=0,0,ROUND((K49*Weights!$B$2+L49*Weights!$B$3+M49*Weights!$B$4+N49*Weights!$B$5+O49*Weights!$B$6)/Weights!$B$7,2))</f>
        <v>5.25</v>
      </c>
      <c r="Q49" s="7" t="str">
        <f aca="false">IF(P49&gt;=Weights!$B$11,"A",IF(P49&gt;=Weights!$B$12,"B","C"))</f>
        <v>B</v>
      </c>
      <c r="R49" s="3" t="s">
        <v>432</v>
      </c>
      <c r="S49" s="3" t="s">
        <v>433</v>
      </c>
      <c r="T49" s="2" t="s">
        <v>218</v>
      </c>
      <c r="U49" s="3" t="s">
        <v>434</v>
      </c>
    </row>
    <row r="50" customFormat="false" ht="35.05" hidden="false" customHeight="false" outlineLevel="0" collapsed="false">
      <c r="A50" s="2" t="n">
        <f aca="false">RANK(P50,$P$2:$P$85,0)</f>
        <v>48</v>
      </c>
      <c r="B50" s="3" t="s">
        <v>435</v>
      </c>
      <c r="C50" s="3" t="s">
        <v>436</v>
      </c>
      <c r="D50" s="3" t="s">
        <v>162</v>
      </c>
      <c r="E50" s="3" t="s">
        <v>437</v>
      </c>
      <c r="F50" s="3" t="s">
        <v>438</v>
      </c>
      <c r="G50" s="3" t="s">
        <v>439</v>
      </c>
      <c r="H50" s="3" t="s">
        <v>440</v>
      </c>
      <c r="I50" s="4"/>
      <c r="J50" s="3" t="s">
        <v>62</v>
      </c>
      <c r="K50" s="5" t="n">
        <v>5</v>
      </c>
      <c r="L50" s="5" t="n">
        <v>5</v>
      </c>
      <c r="M50" s="5" t="n">
        <v>7</v>
      </c>
      <c r="N50" s="5" t="n">
        <v>3</v>
      </c>
      <c r="O50" s="5" t="n">
        <v>6</v>
      </c>
      <c r="P50" s="6" t="n">
        <f aca="false">IF(Weights!$B$7=0,0,ROUND((K50*Weights!$B$2+L50*Weights!$B$3+M50*Weights!$B$4+N50*Weights!$B$5+O50*Weights!$B$6)/Weights!$B$7,2))</f>
        <v>5.25</v>
      </c>
      <c r="Q50" s="7" t="str">
        <f aca="false">IF(P50&gt;=Weights!$B$11,"A",IF(P50&gt;=Weights!$B$12,"B","C"))</f>
        <v>B</v>
      </c>
      <c r="R50" s="3" t="s">
        <v>441</v>
      </c>
      <c r="S50" s="3" t="s">
        <v>442</v>
      </c>
      <c r="T50" s="2" t="s">
        <v>31</v>
      </c>
      <c r="U50" s="3" t="s">
        <v>443</v>
      </c>
    </row>
    <row r="51" customFormat="false" ht="23.85" hidden="false" customHeight="false" outlineLevel="0" collapsed="false">
      <c r="A51" s="2" t="n">
        <f aca="false">RANK(P51,$P$2:$P$85,0)</f>
        <v>50</v>
      </c>
      <c r="B51" s="3" t="s">
        <v>444</v>
      </c>
      <c r="C51" s="3" t="s">
        <v>445</v>
      </c>
      <c r="D51" s="3" t="s">
        <v>446</v>
      </c>
      <c r="E51" s="3" t="s">
        <v>447</v>
      </c>
      <c r="F51" s="3" t="s">
        <v>88</v>
      </c>
      <c r="G51" s="3" t="s">
        <v>448</v>
      </c>
      <c r="H51" s="3" t="s">
        <v>88</v>
      </c>
      <c r="I51" s="4"/>
      <c r="J51" s="3" t="s">
        <v>62</v>
      </c>
      <c r="K51" s="5" t="n">
        <v>3</v>
      </c>
      <c r="L51" s="5" t="n">
        <v>4</v>
      </c>
      <c r="M51" s="5" t="n">
        <v>8</v>
      </c>
      <c r="N51" s="5" t="n">
        <v>6</v>
      </c>
      <c r="O51" s="5" t="n">
        <v>6</v>
      </c>
      <c r="P51" s="6" t="n">
        <f aca="false">IF(Weights!$B$7=0,0,ROUND((K51*Weights!$B$2+L51*Weights!$B$3+M51*Weights!$B$4+N51*Weights!$B$5+O51*Weights!$B$6)/Weights!$B$7,2))</f>
        <v>5.15</v>
      </c>
      <c r="Q51" s="7" t="str">
        <f aca="false">IF(P51&gt;=Weights!$B$11,"A",IF(P51&gt;=Weights!$B$12,"B","C"))</f>
        <v>B</v>
      </c>
      <c r="R51" s="3" t="s">
        <v>449</v>
      </c>
      <c r="S51" s="3" t="s">
        <v>450</v>
      </c>
      <c r="T51" s="2" t="s">
        <v>31</v>
      </c>
      <c r="U51" s="3" t="s">
        <v>451</v>
      </c>
    </row>
    <row r="52" customFormat="false" ht="35.05" hidden="false" customHeight="false" outlineLevel="0" collapsed="false">
      <c r="A52" s="2" t="n">
        <f aca="false">RANK(P52,$P$2:$P$85,0)</f>
        <v>51</v>
      </c>
      <c r="B52" s="3" t="s">
        <v>452</v>
      </c>
      <c r="C52" s="3" t="s">
        <v>453</v>
      </c>
      <c r="D52" s="3" t="s">
        <v>35</v>
      </c>
      <c r="E52" s="3" t="s">
        <v>454</v>
      </c>
      <c r="F52" s="3" t="s">
        <v>455</v>
      </c>
      <c r="G52" s="3" t="s">
        <v>456</v>
      </c>
      <c r="H52" s="3" t="s">
        <v>88</v>
      </c>
      <c r="I52" s="4"/>
      <c r="J52" s="3" t="s">
        <v>62</v>
      </c>
      <c r="K52" s="5" t="n">
        <v>5</v>
      </c>
      <c r="L52" s="5" t="n">
        <v>6</v>
      </c>
      <c r="M52" s="5" t="n">
        <v>5</v>
      </c>
      <c r="N52" s="5" t="n">
        <v>3</v>
      </c>
      <c r="O52" s="5" t="n">
        <v>5</v>
      </c>
      <c r="P52" s="6" t="n">
        <f aca="false">IF(Weights!$B$7=0,0,ROUND((K52*Weights!$B$2+L52*Weights!$B$3+M52*Weights!$B$4+N52*Weights!$B$5+O52*Weights!$B$6)/Weights!$B$7,2))</f>
        <v>4.95</v>
      </c>
      <c r="Q52" s="7" t="str">
        <f aca="false">IF(P52&gt;=Weights!$B$11,"A",IF(P52&gt;=Weights!$B$12,"B","C"))</f>
        <v>C</v>
      </c>
      <c r="R52" s="3" t="s">
        <v>457</v>
      </c>
      <c r="S52" s="3" t="s">
        <v>458</v>
      </c>
      <c r="T52" s="2" t="s">
        <v>31</v>
      </c>
      <c r="U52" s="3" t="s">
        <v>459</v>
      </c>
    </row>
    <row r="53" customFormat="false" ht="35.05" hidden="false" customHeight="false" outlineLevel="0" collapsed="false">
      <c r="A53" s="2" t="n">
        <f aca="false">RANK(P53,$P$2:$P$85,0)</f>
        <v>52</v>
      </c>
      <c r="B53" s="3" t="s">
        <v>460</v>
      </c>
      <c r="C53" s="3" t="s">
        <v>461</v>
      </c>
      <c r="D53" s="3" t="s">
        <v>35</v>
      </c>
      <c r="E53" s="3" t="s">
        <v>400</v>
      </c>
      <c r="F53" s="3" t="s">
        <v>88</v>
      </c>
      <c r="G53" s="3" t="s">
        <v>462</v>
      </c>
      <c r="H53" s="3" t="s">
        <v>88</v>
      </c>
      <c r="I53" s="4"/>
      <c r="J53" s="3" t="s">
        <v>62</v>
      </c>
      <c r="K53" s="5" t="n">
        <v>4</v>
      </c>
      <c r="L53" s="5" t="n">
        <v>5</v>
      </c>
      <c r="M53" s="5" t="n">
        <v>7</v>
      </c>
      <c r="N53" s="5" t="n">
        <v>3</v>
      </c>
      <c r="O53" s="5" t="n">
        <v>5</v>
      </c>
      <c r="P53" s="6" t="n">
        <f aca="false">IF(Weights!$B$7=0,0,ROUND((K53*Weights!$B$2+L53*Weights!$B$3+M53*Weights!$B$4+N53*Weights!$B$5+O53*Weights!$B$6)/Weights!$B$7,2))</f>
        <v>4.85</v>
      </c>
      <c r="Q53" s="7" t="str">
        <f aca="false">IF(P53&gt;=Weights!$B$11,"A",IF(P53&gt;=Weights!$B$12,"B","C"))</f>
        <v>C</v>
      </c>
      <c r="R53" s="3" t="s">
        <v>463</v>
      </c>
      <c r="S53" s="3" t="s">
        <v>464</v>
      </c>
      <c r="T53" s="2" t="s">
        <v>218</v>
      </c>
      <c r="U53" s="3" t="s">
        <v>465</v>
      </c>
    </row>
    <row r="54" customFormat="false" ht="23.85" hidden="false" customHeight="false" outlineLevel="0" collapsed="false">
      <c r="A54" s="2" t="n">
        <f aca="false">RANK(P54,$P$2:$P$85,0)</f>
        <v>52</v>
      </c>
      <c r="B54" s="3" t="s">
        <v>466</v>
      </c>
      <c r="C54" s="3" t="s">
        <v>467</v>
      </c>
      <c r="D54" s="3" t="s">
        <v>35</v>
      </c>
      <c r="E54" s="3" t="s">
        <v>400</v>
      </c>
      <c r="F54" s="3" t="s">
        <v>468</v>
      </c>
      <c r="G54" s="3" t="s">
        <v>116</v>
      </c>
      <c r="H54" s="3" t="s">
        <v>88</v>
      </c>
      <c r="I54" s="4"/>
      <c r="J54" s="3" t="s">
        <v>62</v>
      </c>
      <c r="K54" s="5" t="n">
        <v>4</v>
      </c>
      <c r="L54" s="5" t="n">
        <v>5</v>
      </c>
      <c r="M54" s="5" t="n">
        <v>7</v>
      </c>
      <c r="N54" s="5" t="n">
        <v>2</v>
      </c>
      <c r="O54" s="5" t="n">
        <v>6</v>
      </c>
      <c r="P54" s="6" t="n">
        <f aca="false">IF(Weights!$B$7=0,0,ROUND((K54*Weights!$B$2+L54*Weights!$B$3+M54*Weights!$B$4+N54*Weights!$B$5+O54*Weights!$B$6)/Weights!$B$7,2))</f>
        <v>4.85</v>
      </c>
      <c r="Q54" s="7" t="str">
        <f aca="false">IF(P54&gt;=Weights!$B$11,"A",IF(P54&gt;=Weights!$B$12,"B","C"))</f>
        <v>C</v>
      </c>
      <c r="R54" s="3" t="s">
        <v>469</v>
      </c>
      <c r="S54" s="3" t="s">
        <v>470</v>
      </c>
      <c r="T54" s="2" t="s">
        <v>31</v>
      </c>
      <c r="U54" s="3" t="s">
        <v>471</v>
      </c>
    </row>
    <row r="55" customFormat="false" ht="23.85" hidden="false" customHeight="false" outlineLevel="0" collapsed="false">
      <c r="A55" s="2" t="n">
        <f aca="false">RANK(P55,$P$2:$P$85,0)</f>
        <v>54</v>
      </c>
      <c r="B55" s="3" t="s">
        <v>472</v>
      </c>
      <c r="C55" s="3" t="s">
        <v>473</v>
      </c>
      <c r="D55" s="3" t="s">
        <v>35</v>
      </c>
      <c r="E55" s="3" t="s">
        <v>474</v>
      </c>
      <c r="F55" s="3" t="s">
        <v>475</v>
      </c>
      <c r="G55" s="3" t="s">
        <v>341</v>
      </c>
      <c r="H55" s="3" t="s">
        <v>88</v>
      </c>
      <c r="I55" s="4"/>
      <c r="J55" s="3" t="s">
        <v>62</v>
      </c>
      <c r="K55" s="5" t="n">
        <v>4</v>
      </c>
      <c r="L55" s="5" t="n">
        <v>4</v>
      </c>
      <c r="M55" s="5" t="n">
        <v>8</v>
      </c>
      <c r="N55" s="5" t="n">
        <v>3</v>
      </c>
      <c r="O55" s="5" t="n">
        <v>5</v>
      </c>
      <c r="P55" s="6" t="n">
        <f aca="false">IF(Weights!$B$7=0,0,ROUND((K55*Weights!$B$2+L55*Weights!$B$3+M55*Weights!$B$4+N55*Weights!$B$5+O55*Weights!$B$6)/Weights!$B$7,2))</f>
        <v>4.8</v>
      </c>
      <c r="Q55" s="7" t="str">
        <f aca="false">IF(P55&gt;=Weights!$B$11,"A",IF(P55&gt;=Weights!$B$12,"B","C"))</f>
        <v>C</v>
      </c>
      <c r="R55" s="3" t="s">
        <v>305</v>
      </c>
      <c r="S55" s="3" t="s">
        <v>476</v>
      </c>
      <c r="T55" s="2" t="s">
        <v>31</v>
      </c>
      <c r="U55" s="3" t="s">
        <v>477</v>
      </c>
    </row>
    <row r="56" customFormat="false" ht="35.05" hidden="false" customHeight="false" outlineLevel="0" collapsed="false">
      <c r="A56" s="2" t="n">
        <f aca="false">RANK(P56,$P$2:$P$85,0)</f>
        <v>54</v>
      </c>
      <c r="B56" s="3" t="s">
        <v>478</v>
      </c>
      <c r="C56" s="3" t="s">
        <v>479</v>
      </c>
      <c r="D56" s="3" t="s">
        <v>35</v>
      </c>
      <c r="E56" s="3" t="s">
        <v>480</v>
      </c>
      <c r="F56" s="3" t="s">
        <v>88</v>
      </c>
      <c r="G56" s="3" t="s">
        <v>481</v>
      </c>
      <c r="H56" s="3" t="s">
        <v>88</v>
      </c>
      <c r="I56" s="4"/>
      <c r="J56" s="3" t="s">
        <v>62</v>
      </c>
      <c r="K56" s="5" t="n">
        <v>4</v>
      </c>
      <c r="L56" s="5" t="n">
        <v>4</v>
      </c>
      <c r="M56" s="5" t="n">
        <v>8</v>
      </c>
      <c r="N56" s="5" t="n">
        <v>3</v>
      </c>
      <c r="O56" s="5" t="n">
        <v>5</v>
      </c>
      <c r="P56" s="6" t="n">
        <f aca="false">IF(Weights!$B$7=0,0,ROUND((K56*Weights!$B$2+L56*Weights!$B$3+M56*Weights!$B$4+N56*Weights!$B$5+O56*Weights!$B$6)/Weights!$B$7,2))</f>
        <v>4.8</v>
      </c>
      <c r="Q56" s="7" t="str">
        <f aca="false">IF(P56&gt;=Weights!$B$11,"A",IF(P56&gt;=Weights!$B$12,"B","C"))</f>
        <v>C</v>
      </c>
      <c r="R56" s="3" t="s">
        <v>305</v>
      </c>
      <c r="S56" s="3" t="s">
        <v>482</v>
      </c>
      <c r="T56" s="2" t="s">
        <v>31</v>
      </c>
      <c r="U56" s="3" t="s">
        <v>483</v>
      </c>
    </row>
    <row r="57" customFormat="false" ht="23.85" hidden="false" customHeight="false" outlineLevel="0" collapsed="false">
      <c r="A57" s="2" t="n">
        <f aca="false">RANK(P57,$P$2:$P$85,0)</f>
        <v>56</v>
      </c>
      <c r="B57" s="3" t="s">
        <v>484</v>
      </c>
      <c r="C57" s="3" t="s">
        <v>485</v>
      </c>
      <c r="D57" s="3" t="s">
        <v>486</v>
      </c>
      <c r="E57" s="3" t="s">
        <v>487</v>
      </c>
      <c r="F57" s="3" t="s">
        <v>488</v>
      </c>
      <c r="G57" s="3" t="s">
        <v>489</v>
      </c>
      <c r="H57" s="3" t="s">
        <v>88</v>
      </c>
      <c r="I57" s="4" t="n">
        <v>2092</v>
      </c>
      <c r="J57" s="3" t="s">
        <v>490</v>
      </c>
      <c r="K57" s="5" t="n">
        <v>3</v>
      </c>
      <c r="L57" s="5" t="n">
        <v>5</v>
      </c>
      <c r="M57" s="5" t="n">
        <v>7</v>
      </c>
      <c r="N57" s="5" t="n">
        <v>3</v>
      </c>
      <c r="O57" s="5" t="n">
        <v>6</v>
      </c>
      <c r="P57" s="6" t="n">
        <f aca="false">IF(Weights!$B$7=0,0,ROUND((K57*Weights!$B$2+L57*Weights!$B$3+M57*Weights!$B$4+N57*Weights!$B$5+O57*Weights!$B$6)/Weights!$B$7,2))</f>
        <v>4.75</v>
      </c>
      <c r="Q57" s="7" t="str">
        <f aca="false">IF(P57&gt;=Weights!$B$11,"A",IF(P57&gt;=Weights!$B$12,"B","C"))</f>
        <v>C</v>
      </c>
      <c r="R57" s="3" t="s">
        <v>491</v>
      </c>
      <c r="S57" s="3" t="s">
        <v>492</v>
      </c>
      <c r="T57" s="2" t="s">
        <v>31</v>
      </c>
      <c r="U57" s="3" t="s">
        <v>493</v>
      </c>
    </row>
    <row r="58" customFormat="false" ht="23.85" hidden="false" customHeight="false" outlineLevel="0" collapsed="false">
      <c r="A58" s="2" t="n">
        <f aca="false">RANK(P58,$P$2:$P$85,0)</f>
        <v>57</v>
      </c>
      <c r="B58" s="3" t="s">
        <v>494</v>
      </c>
      <c r="C58" s="3" t="s">
        <v>495</v>
      </c>
      <c r="D58" s="3" t="s">
        <v>35</v>
      </c>
      <c r="E58" s="3" t="s">
        <v>447</v>
      </c>
      <c r="F58" s="3" t="s">
        <v>88</v>
      </c>
      <c r="G58" s="3" t="s">
        <v>410</v>
      </c>
      <c r="H58" s="3" t="s">
        <v>88</v>
      </c>
      <c r="I58" s="4"/>
      <c r="J58" s="3" t="s">
        <v>62</v>
      </c>
      <c r="K58" s="5" t="n">
        <v>4</v>
      </c>
      <c r="L58" s="5" t="n">
        <v>5</v>
      </c>
      <c r="M58" s="5" t="n">
        <v>4</v>
      </c>
      <c r="N58" s="5" t="n">
        <v>6</v>
      </c>
      <c r="O58" s="5" t="n">
        <v>5</v>
      </c>
      <c r="P58" s="6" t="n">
        <f aca="false">IF(Weights!$B$7=0,0,ROUND((K58*Weights!$B$2+L58*Weights!$B$3+M58*Weights!$B$4+N58*Weights!$B$5+O58*Weights!$B$6)/Weights!$B$7,2))</f>
        <v>4.7</v>
      </c>
      <c r="Q58" s="7" t="str">
        <f aca="false">IF(P58&gt;=Weights!$B$11,"A",IF(P58&gt;=Weights!$B$12,"B","C"))</f>
        <v>C</v>
      </c>
      <c r="R58" s="3" t="s">
        <v>496</v>
      </c>
      <c r="S58" s="3" t="s">
        <v>497</v>
      </c>
      <c r="T58" s="2" t="s">
        <v>218</v>
      </c>
      <c r="U58" s="3" t="s">
        <v>498</v>
      </c>
    </row>
    <row r="59" customFormat="false" ht="23.85" hidden="false" customHeight="false" outlineLevel="0" collapsed="false">
      <c r="A59" s="2" t="n">
        <f aca="false">RANK(P59,$P$2:$P$85,0)</f>
        <v>58</v>
      </c>
      <c r="B59" s="3" t="s">
        <v>499</v>
      </c>
      <c r="C59" s="3" t="s">
        <v>500</v>
      </c>
      <c r="D59" s="3" t="s">
        <v>35</v>
      </c>
      <c r="E59" s="3" t="s">
        <v>400</v>
      </c>
      <c r="F59" s="3" t="s">
        <v>88</v>
      </c>
      <c r="G59" s="3" t="s">
        <v>501</v>
      </c>
      <c r="H59" s="3" t="s">
        <v>88</v>
      </c>
      <c r="I59" s="4"/>
      <c r="J59" s="3" t="s">
        <v>62</v>
      </c>
      <c r="K59" s="5" t="n">
        <v>4</v>
      </c>
      <c r="L59" s="5" t="n">
        <v>5</v>
      </c>
      <c r="M59" s="5" t="n">
        <v>7</v>
      </c>
      <c r="N59" s="5" t="n">
        <v>1</v>
      </c>
      <c r="O59" s="5" t="n">
        <v>5</v>
      </c>
      <c r="P59" s="6" t="n">
        <f aca="false">IF(Weights!$B$7=0,0,ROUND((K59*Weights!$B$2+L59*Weights!$B$3+M59*Weights!$B$4+N59*Weights!$B$5+O59*Weights!$B$6)/Weights!$B$7,2))</f>
        <v>4.55</v>
      </c>
      <c r="Q59" s="7" t="str">
        <f aca="false">IF(P59&gt;=Weights!$B$11,"A",IF(P59&gt;=Weights!$B$12,"B","C"))</f>
        <v>C</v>
      </c>
      <c r="R59" s="3" t="s">
        <v>502</v>
      </c>
      <c r="S59" s="3" t="s">
        <v>503</v>
      </c>
      <c r="T59" s="2" t="s">
        <v>218</v>
      </c>
      <c r="U59" s="3" t="s">
        <v>504</v>
      </c>
    </row>
    <row r="60" customFormat="false" ht="23.85" hidden="false" customHeight="false" outlineLevel="0" collapsed="false">
      <c r="A60" s="2" t="n">
        <f aca="false">RANK(P60,$P$2:$P$85,0)</f>
        <v>58</v>
      </c>
      <c r="B60" s="3" t="s">
        <v>505</v>
      </c>
      <c r="C60" s="3" t="s">
        <v>105</v>
      </c>
      <c r="D60" s="3" t="s">
        <v>506</v>
      </c>
      <c r="E60" s="3" t="s">
        <v>400</v>
      </c>
      <c r="F60" s="3" t="s">
        <v>507</v>
      </c>
      <c r="G60" s="3" t="s">
        <v>508</v>
      </c>
      <c r="H60" s="3" t="s">
        <v>88</v>
      </c>
      <c r="I60" s="4"/>
      <c r="J60" s="3" t="s">
        <v>62</v>
      </c>
      <c r="K60" s="5" t="n">
        <v>4</v>
      </c>
      <c r="L60" s="5" t="n">
        <v>4</v>
      </c>
      <c r="M60" s="5" t="n">
        <v>6</v>
      </c>
      <c r="N60" s="5" t="n">
        <v>4</v>
      </c>
      <c r="O60" s="5" t="n">
        <v>5</v>
      </c>
      <c r="P60" s="6" t="n">
        <f aca="false">IF(Weights!$B$7=0,0,ROUND((K60*Weights!$B$2+L60*Weights!$B$3+M60*Weights!$B$4+N60*Weights!$B$5+O60*Weights!$B$6)/Weights!$B$7,2))</f>
        <v>4.55</v>
      </c>
      <c r="Q60" s="7" t="str">
        <f aca="false">IF(P60&gt;=Weights!$B$11,"A",IF(P60&gt;=Weights!$B$12,"B","C"))</f>
        <v>C</v>
      </c>
      <c r="R60" s="3" t="s">
        <v>509</v>
      </c>
      <c r="S60" s="3" t="s">
        <v>510</v>
      </c>
      <c r="T60" s="2" t="s">
        <v>218</v>
      </c>
      <c r="U60" s="3" t="s">
        <v>511</v>
      </c>
    </row>
    <row r="61" customFormat="false" ht="35.05" hidden="false" customHeight="false" outlineLevel="0" collapsed="false">
      <c r="A61" s="2" t="n">
        <f aca="false">RANK(P61,$P$2:$P$85,0)</f>
        <v>60</v>
      </c>
      <c r="B61" s="3" t="s">
        <v>512</v>
      </c>
      <c r="C61" s="3" t="s">
        <v>513</v>
      </c>
      <c r="D61" s="3" t="s">
        <v>35</v>
      </c>
      <c r="E61" s="3" t="s">
        <v>514</v>
      </c>
      <c r="F61" s="3" t="s">
        <v>88</v>
      </c>
      <c r="G61" s="3" t="s">
        <v>515</v>
      </c>
      <c r="H61" s="3" t="s">
        <v>88</v>
      </c>
      <c r="I61" s="4"/>
      <c r="J61" s="3" t="s">
        <v>62</v>
      </c>
      <c r="K61" s="5" t="n">
        <v>4</v>
      </c>
      <c r="L61" s="5" t="n">
        <v>5</v>
      </c>
      <c r="M61" s="5" t="n">
        <v>6</v>
      </c>
      <c r="N61" s="5" t="n">
        <v>2</v>
      </c>
      <c r="O61" s="5" t="n">
        <v>5</v>
      </c>
      <c r="P61" s="6" t="n">
        <f aca="false">IF(Weights!$B$7=0,0,ROUND((K61*Weights!$B$2+L61*Weights!$B$3+M61*Weights!$B$4+N61*Weights!$B$5+O61*Weights!$B$6)/Weights!$B$7,2))</f>
        <v>4.5</v>
      </c>
      <c r="Q61" s="7" t="str">
        <f aca="false">IF(P61&gt;=Weights!$B$11,"A",IF(P61&gt;=Weights!$B$12,"B","C"))</f>
        <v>C</v>
      </c>
      <c r="R61" s="3" t="s">
        <v>516</v>
      </c>
      <c r="S61" s="3" t="s">
        <v>517</v>
      </c>
      <c r="T61" s="2" t="s">
        <v>218</v>
      </c>
      <c r="U61" s="3" t="s">
        <v>518</v>
      </c>
    </row>
    <row r="62" customFormat="false" ht="35.05" hidden="false" customHeight="false" outlineLevel="0" collapsed="false">
      <c r="A62" s="2" t="n">
        <f aca="false">RANK(P62,$P$2:$P$85,0)</f>
        <v>60</v>
      </c>
      <c r="B62" s="3" t="s">
        <v>519</v>
      </c>
      <c r="C62" s="3" t="s">
        <v>331</v>
      </c>
      <c r="D62" s="3" t="s">
        <v>520</v>
      </c>
      <c r="E62" s="3" t="s">
        <v>521</v>
      </c>
      <c r="F62" s="3" t="s">
        <v>88</v>
      </c>
      <c r="G62" s="3" t="s">
        <v>522</v>
      </c>
      <c r="H62" s="3" t="s">
        <v>88</v>
      </c>
      <c r="I62" s="4"/>
      <c r="J62" s="3" t="s">
        <v>62</v>
      </c>
      <c r="K62" s="5" t="n">
        <v>4</v>
      </c>
      <c r="L62" s="5" t="n">
        <v>4</v>
      </c>
      <c r="M62" s="5" t="n">
        <v>5</v>
      </c>
      <c r="N62" s="5" t="n">
        <v>5</v>
      </c>
      <c r="O62" s="5" t="n">
        <v>5</v>
      </c>
      <c r="P62" s="6" t="n">
        <f aca="false">IF(Weights!$B$7=0,0,ROUND((K62*Weights!$B$2+L62*Weights!$B$3+M62*Weights!$B$4+N62*Weights!$B$5+O62*Weights!$B$6)/Weights!$B$7,2))</f>
        <v>4.5</v>
      </c>
      <c r="Q62" s="7" t="str">
        <f aca="false">IF(P62&gt;=Weights!$B$11,"A",IF(P62&gt;=Weights!$B$12,"B","C"))</f>
        <v>C</v>
      </c>
      <c r="R62" s="3" t="s">
        <v>523</v>
      </c>
      <c r="S62" s="3" t="s">
        <v>524</v>
      </c>
      <c r="T62" s="2" t="s">
        <v>218</v>
      </c>
      <c r="U62" s="3" t="s">
        <v>525</v>
      </c>
    </row>
    <row r="63" customFormat="false" ht="23.85" hidden="false" customHeight="false" outlineLevel="0" collapsed="false">
      <c r="A63" s="2" t="n">
        <f aca="false">RANK(P63,$P$2:$P$85,0)</f>
        <v>62</v>
      </c>
      <c r="B63" s="3" t="s">
        <v>526</v>
      </c>
      <c r="C63" s="3" t="s">
        <v>527</v>
      </c>
      <c r="D63" s="3" t="s">
        <v>35</v>
      </c>
      <c r="E63" s="3" t="s">
        <v>400</v>
      </c>
      <c r="F63" s="3" t="s">
        <v>325</v>
      </c>
      <c r="G63" s="3" t="s">
        <v>116</v>
      </c>
      <c r="H63" s="3" t="s">
        <v>88</v>
      </c>
      <c r="I63" s="4"/>
      <c r="J63" s="3" t="s">
        <v>62</v>
      </c>
      <c r="K63" s="5" t="n">
        <v>4</v>
      </c>
      <c r="L63" s="5" t="n">
        <v>4</v>
      </c>
      <c r="M63" s="5" t="n">
        <v>7</v>
      </c>
      <c r="N63" s="5" t="n">
        <v>2</v>
      </c>
      <c r="O63" s="5" t="n">
        <v>5</v>
      </c>
      <c r="P63" s="6" t="n">
        <f aca="false">IF(Weights!$B$7=0,0,ROUND((K63*Weights!$B$2+L63*Weights!$B$3+M63*Weights!$B$4+N63*Weights!$B$5+O63*Weights!$B$6)/Weights!$B$7,2))</f>
        <v>4.45</v>
      </c>
      <c r="Q63" s="7" t="str">
        <f aca="false">IF(P63&gt;=Weights!$B$11,"A",IF(P63&gt;=Weights!$B$12,"B","C"))</f>
        <v>C</v>
      </c>
      <c r="R63" s="3" t="s">
        <v>528</v>
      </c>
      <c r="S63" s="3" t="s">
        <v>529</v>
      </c>
      <c r="T63" s="2" t="s">
        <v>31</v>
      </c>
      <c r="U63" s="3" t="s">
        <v>530</v>
      </c>
    </row>
    <row r="64" customFormat="false" ht="23.85" hidden="false" customHeight="false" outlineLevel="0" collapsed="false">
      <c r="A64" s="2" t="n">
        <f aca="false">RANK(P64,$P$2:$P$85,0)</f>
        <v>63</v>
      </c>
      <c r="B64" s="3" t="s">
        <v>531</v>
      </c>
      <c r="C64" s="3" t="s">
        <v>532</v>
      </c>
      <c r="D64" s="3" t="s">
        <v>35</v>
      </c>
      <c r="E64" s="3" t="s">
        <v>400</v>
      </c>
      <c r="F64" s="3" t="s">
        <v>88</v>
      </c>
      <c r="G64" s="3" t="s">
        <v>533</v>
      </c>
      <c r="H64" s="3" t="s">
        <v>534</v>
      </c>
      <c r="I64" s="4"/>
      <c r="J64" s="3" t="s">
        <v>62</v>
      </c>
      <c r="K64" s="5" t="n">
        <v>4</v>
      </c>
      <c r="L64" s="5" t="n">
        <v>5</v>
      </c>
      <c r="M64" s="5" t="n">
        <v>4</v>
      </c>
      <c r="N64" s="5" t="n">
        <v>5</v>
      </c>
      <c r="O64" s="5" t="n">
        <v>4</v>
      </c>
      <c r="P64" s="6" t="n">
        <f aca="false">IF(Weights!$B$7=0,0,ROUND((K64*Weights!$B$2+L64*Weights!$B$3+M64*Weights!$B$4+N64*Weights!$B$5+O64*Weights!$B$6)/Weights!$B$7,2))</f>
        <v>4.4</v>
      </c>
      <c r="Q64" s="7" t="str">
        <f aca="false">IF(P64&gt;=Weights!$B$11,"A",IF(P64&gt;=Weights!$B$12,"B","C"))</f>
        <v>C</v>
      </c>
      <c r="R64" s="3" t="s">
        <v>535</v>
      </c>
      <c r="S64" s="3" t="s">
        <v>536</v>
      </c>
      <c r="T64" s="2" t="s">
        <v>218</v>
      </c>
      <c r="U64" s="3" t="s">
        <v>537</v>
      </c>
    </row>
    <row r="65" customFormat="false" ht="23.85" hidden="false" customHeight="false" outlineLevel="0" collapsed="false">
      <c r="A65" s="2" t="n">
        <f aca="false">RANK(P65,$P$2:$P$85,0)</f>
        <v>63</v>
      </c>
      <c r="B65" s="3" t="s">
        <v>538</v>
      </c>
      <c r="C65" s="3" t="s">
        <v>539</v>
      </c>
      <c r="D65" s="3" t="s">
        <v>35</v>
      </c>
      <c r="E65" s="3" t="s">
        <v>400</v>
      </c>
      <c r="F65" s="3" t="s">
        <v>88</v>
      </c>
      <c r="G65" s="3" t="s">
        <v>540</v>
      </c>
      <c r="H65" s="3" t="s">
        <v>88</v>
      </c>
      <c r="I65" s="4"/>
      <c r="J65" s="3" t="s">
        <v>62</v>
      </c>
      <c r="K65" s="5" t="n">
        <v>4</v>
      </c>
      <c r="L65" s="5" t="n">
        <v>4</v>
      </c>
      <c r="M65" s="5" t="n">
        <v>6</v>
      </c>
      <c r="N65" s="5" t="n">
        <v>3</v>
      </c>
      <c r="O65" s="5" t="n">
        <v>5</v>
      </c>
      <c r="P65" s="6" t="n">
        <f aca="false">IF(Weights!$B$7=0,0,ROUND((K65*Weights!$B$2+L65*Weights!$B$3+M65*Weights!$B$4+N65*Weights!$B$5+O65*Weights!$B$6)/Weights!$B$7,2))</f>
        <v>4.4</v>
      </c>
      <c r="Q65" s="7" t="str">
        <f aca="false">IF(P65&gt;=Weights!$B$11,"A",IF(P65&gt;=Weights!$B$12,"B","C"))</f>
        <v>C</v>
      </c>
      <c r="R65" s="3" t="s">
        <v>541</v>
      </c>
      <c r="S65" s="3" t="s">
        <v>542</v>
      </c>
      <c r="T65" s="2" t="s">
        <v>218</v>
      </c>
      <c r="U65" s="3" t="s">
        <v>543</v>
      </c>
    </row>
    <row r="66" customFormat="false" ht="23.85" hidden="false" customHeight="false" outlineLevel="0" collapsed="false">
      <c r="A66" s="2" t="n">
        <f aca="false">RANK(P66,$P$2:$P$85,0)</f>
        <v>65</v>
      </c>
      <c r="B66" s="3" t="s">
        <v>544</v>
      </c>
      <c r="C66" s="3" t="s">
        <v>221</v>
      </c>
      <c r="D66" s="3" t="s">
        <v>35</v>
      </c>
      <c r="E66" s="3" t="s">
        <v>400</v>
      </c>
      <c r="F66" s="3" t="s">
        <v>545</v>
      </c>
      <c r="G66" s="3" t="s">
        <v>501</v>
      </c>
      <c r="H66" s="3" t="s">
        <v>88</v>
      </c>
      <c r="I66" s="4"/>
      <c r="J66" s="3" t="s">
        <v>62</v>
      </c>
      <c r="K66" s="5" t="n">
        <v>4</v>
      </c>
      <c r="L66" s="5" t="n">
        <v>4</v>
      </c>
      <c r="M66" s="5" t="n">
        <v>7</v>
      </c>
      <c r="N66" s="5" t="n">
        <v>1</v>
      </c>
      <c r="O66" s="5" t="n">
        <v>5</v>
      </c>
      <c r="P66" s="6" t="n">
        <f aca="false">IF(Weights!$B$7=0,0,ROUND((K66*Weights!$B$2+L66*Weights!$B$3+M66*Weights!$B$4+N66*Weights!$B$5+O66*Weights!$B$6)/Weights!$B$7,2))</f>
        <v>4.3</v>
      </c>
      <c r="Q66" s="7" t="str">
        <f aca="false">IF(P66&gt;=Weights!$B$11,"A",IF(P66&gt;=Weights!$B$12,"B","C"))</f>
        <v>C</v>
      </c>
      <c r="R66" s="3" t="s">
        <v>502</v>
      </c>
      <c r="S66" s="3" t="s">
        <v>546</v>
      </c>
      <c r="T66" s="2" t="s">
        <v>218</v>
      </c>
      <c r="U66" s="3" t="s">
        <v>547</v>
      </c>
    </row>
    <row r="67" customFormat="false" ht="35.05" hidden="false" customHeight="false" outlineLevel="0" collapsed="false">
      <c r="A67" s="2" t="n">
        <f aca="false">RANK(P67,$P$2:$P$85,0)</f>
        <v>66</v>
      </c>
      <c r="B67" s="3" t="s">
        <v>548</v>
      </c>
      <c r="C67" s="3" t="s">
        <v>549</v>
      </c>
      <c r="D67" s="3" t="s">
        <v>550</v>
      </c>
      <c r="E67" s="3" t="s">
        <v>551</v>
      </c>
      <c r="F67" s="3" t="s">
        <v>88</v>
      </c>
      <c r="G67" s="3" t="s">
        <v>552</v>
      </c>
      <c r="H67" s="3" t="s">
        <v>88</v>
      </c>
      <c r="I67" s="4"/>
      <c r="J67" s="3" t="s">
        <v>62</v>
      </c>
      <c r="K67" s="5" t="n">
        <v>4</v>
      </c>
      <c r="L67" s="5" t="n">
        <v>4</v>
      </c>
      <c r="M67" s="5" t="n">
        <v>5</v>
      </c>
      <c r="N67" s="5" t="n">
        <v>3</v>
      </c>
      <c r="O67" s="5" t="n">
        <v>5</v>
      </c>
      <c r="P67" s="6" t="n">
        <f aca="false">IF(Weights!$B$7=0,0,ROUND((K67*Weights!$B$2+L67*Weights!$B$3+M67*Weights!$B$4+N67*Weights!$B$5+O67*Weights!$B$6)/Weights!$B$7,2))</f>
        <v>4.2</v>
      </c>
      <c r="Q67" s="7" t="str">
        <f aca="false">IF(P67&gt;=Weights!$B$11,"A",IF(P67&gt;=Weights!$B$12,"B","C"))</f>
        <v>C</v>
      </c>
      <c r="R67" s="3" t="s">
        <v>553</v>
      </c>
      <c r="S67" s="3" t="s">
        <v>554</v>
      </c>
      <c r="T67" s="2" t="s">
        <v>218</v>
      </c>
      <c r="U67" s="3" t="s">
        <v>518</v>
      </c>
    </row>
    <row r="68" customFormat="false" ht="23.85" hidden="false" customHeight="false" outlineLevel="0" collapsed="false">
      <c r="A68" s="2" t="n">
        <f aca="false">RANK(P68,$P$2:$P$85,0)</f>
        <v>66</v>
      </c>
      <c r="B68" s="3" t="s">
        <v>555</v>
      </c>
      <c r="C68" s="3" t="s">
        <v>556</v>
      </c>
      <c r="D68" s="3" t="s">
        <v>557</v>
      </c>
      <c r="E68" s="3" t="s">
        <v>558</v>
      </c>
      <c r="F68" s="3" t="s">
        <v>88</v>
      </c>
      <c r="G68" s="3" t="s">
        <v>559</v>
      </c>
      <c r="H68" s="3" t="s">
        <v>88</v>
      </c>
      <c r="I68" s="4"/>
      <c r="J68" s="3" t="s">
        <v>62</v>
      </c>
      <c r="K68" s="5" t="n">
        <v>4</v>
      </c>
      <c r="L68" s="5" t="n">
        <v>4</v>
      </c>
      <c r="M68" s="5" t="n">
        <v>5</v>
      </c>
      <c r="N68" s="5" t="n">
        <v>3</v>
      </c>
      <c r="O68" s="5" t="n">
        <v>5</v>
      </c>
      <c r="P68" s="6" t="n">
        <f aca="false">IF(Weights!$B$7=0,0,ROUND((K68*Weights!$B$2+L68*Weights!$B$3+M68*Weights!$B$4+N68*Weights!$B$5+O68*Weights!$B$6)/Weights!$B$7,2))</f>
        <v>4.2</v>
      </c>
      <c r="Q68" s="7" t="str">
        <f aca="false">IF(P68&gt;=Weights!$B$11,"A",IF(P68&gt;=Weights!$B$12,"B","C"))</f>
        <v>C</v>
      </c>
      <c r="R68" s="3" t="s">
        <v>560</v>
      </c>
      <c r="S68" s="3" t="s">
        <v>561</v>
      </c>
      <c r="T68" s="2" t="s">
        <v>218</v>
      </c>
      <c r="U68" s="3" t="s">
        <v>562</v>
      </c>
    </row>
    <row r="69" customFormat="false" ht="23.85" hidden="false" customHeight="false" outlineLevel="0" collapsed="false">
      <c r="A69" s="2" t="n">
        <f aca="false">RANK(P69,$P$2:$P$85,0)</f>
        <v>66</v>
      </c>
      <c r="B69" s="3" t="s">
        <v>563</v>
      </c>
      <c r="C69" s="3" t="s">
        <v>564</v>
      </c>
      <c r="D69" s="3" t="s">
        <v>35</v>
      </c>
      <c r="E69" s="3" t="s">
        <v>565</v>
      </c>
      <c r="F69" s="3" t="s">
        <v>566</v>
      </c>
      <c r="G69" s="3" t="s">
        <v>567</v>
      </c>
      <c r="H69" s="3" t="s">
        <v>88</v>
      </c>
      <c r="I69" s="4" t="n">
        <v>3317</v>
      </c>
      <c r="J69" s="3" t="s">
        <v>568</v>
      </c>
      <c r="K69" s="5" t="n">
        <v>5</v>
      </c>
      <c r="L69" s="5" t="n">
        <v>3</v>
      </c>
      <c r="M69" s="5" t="n">
        <v>5</v>
      </c>
      <c r="N69" s="5" t="n">
        <v>4</v>
      </c>
      <c r="O69" s="5" t="n">
        <v>4</v>
      </c>
      <c r="P69" s="6" t="n">
        <f aca="false">IF(Weights!$B$7=0,0,ROUND((K69*Weights!$B$2+L69*Weights!$B$3+M69*Weights!$B$4+N69*Weights!$B$5+O69*Weights!$B$6)/Weights!$B$7,2))</f>
        <v>4.2</v>
      </c>
      <c r="Q69" s="7" t="str">
        <f aca="false">IF(P69&gt;=Weights!$B$11,"A",IF(P69&gt;=Weights!$B$12,"B","C"))</f>
        <v>C</v>
      </c>
      <c r="R69" s="3" t="s">
        <v>569</v>
      </c>
      <c r="S69" s="3" t="s">
        <v>570</v>
      </c>
      <c r="T69" s="2" t="s">
        <v>31</v>
      </c>
      <c r="U69" s="3" t="s">
        <v>571</v>
      </c>
    </row>
    <row r="70" customFormat="false" ht="23.85" hidden="false" customHeight="false" outlineLevel="0" collapsed="false">
      <c r="A70" s="2" t="n">
        <f aca="false">RANK(P70,$P$2:$P$85,0)</f>
        <v>69</v>
      </c>
      <c r="B70" s="3" t="s">
        <v>572</v>
      </c>
      <c r="C70" s="3" t="s">
        <v>573</v>
      </c>
      <c r="D70" s="3" t="s">
        <v>35</v>
      </c>
      <c r="E70" s="3" t="s">
        <v>400</v>
      </c>
      <c r="F70" s="3" t="s">
        <v>88</v>
      </c>
      <c r="G70" s="3" t="s">
        <v>372</v>
      </c>
      <c r="H70" s="3" t="s">
        <v>88</v>
      </c>
      <c r="I70" s="4"/>
      <c r="J70" s="3" t="s">
        <v>62</v>
      </c>
      <c r="K70" s="5" t="n">
        <v>4</v>
      </c>
      <c r="L70" s="5" t="n">
        <v>3</v>
      </c>
      <c r="M70" s="5" t="n">
        <v>7</v>
      </c>
      <c r="N70" s="5" t="n">
        <v>2</v>
      </c>
      <c r="O70" s="5" t="n">
        <v>4</v>
      </c>
      <c r="P70" s="6" t="n">
        <f aca="false">IF(Weights!$B$7=0,0,ROUND((K70*Weights!$B$2+L70*Weights!$B$3+M70*Weights!$B$4+N70*Weights!$B$5+O70*Weights!$B$6)/Weights!$B$7,2))</f>
        <v>4.05</v>
      </c>
      <c r="Q70" s="7" t="str">
        <f aca="false">IF(P70&gt;=Weights!$B$11,"A",IF(P70&gt;=Weights!$B$12,"B","C"))</f>
        <v>C</v>
      </c>
      <c r="R70" s="3" t="s">
        <v>574</v>
      </c>
      <c r="S70" s="3" t="s">
        <v>575</v>
      </c>
      <c r="T70" s="2" t="s">
        <v>218</v>
      </c>
      <c r="U70" s="3" t="s">
        <v>576</v>
      </c>
    </row>
    <row r="71" customFormat="false" ht="23.85" hidden="false" customHeight="false" outlineLevel="0" collapsed="false">
      <c r="A71" s="2" t="n">
        <f aca="false">RANK(P71,$P$2:$P$85,0)</f>
        <v>69</v>
      </c>
      <c r="B71" s="3" t="s">
        <v>577</v>
      </c>
      <c r="C71" s="3" t="s">
        <v>578</v>
      </c>
      <c r="D71" s="3" t="s">
        <v>35</v>
      </c>
      <c r="E71" s="3" t="s">
        <v>579</v>
      </c>
      <c r="F71" s="3" t="s">
        <v>311</v>
      </c>
      <c r="G71" s="3" t="s">
        <v>116</v>
      </c>
      <c r="H71" s="3" t="s">
        <v>88</v>
      </c>
      <c r="I71" s="4" t="n">
        <v>3198</v>
      </c>
      <c r="J71" s="3" t="s">
        <v>580</v>
      </c>
      <c r="K71" s="5" t="n">
        <v>4</v>
      </c>
      <c r="L71" s="5" t="n">
        <v>3</v>
      </c>
      <c r="M71" s="5" t="n">
        <v>7</v>
      </c>
      <c r="N71" s="5" t="n">
        <v>2</v>
      </c>
      <c r="O71" s="5" t="n">
        <v>4</v>
      </c>
      <c r="P71" s="6" t="n">
        <f aca="false">IF(Weights!$B$7=0,0,ROUND((K71*Weights!$B$2+L71*Weights!$B$3+M71*Weights!$B$4+N71*Weights!$B$5+O71*Weights!$B$6)/Weights!$B$7,2))</f>
        <v>4.05</v>
      </c>
      <c r="Q71" s="7" t="str">
        <f aca="false">IF(P71&gt;=Weights!$B$11,"A",IF(P71&gt;=Weights!$B$12,"B","C"))</f>
        <v>C</v>
      </c>
      <c r="R71" s="3" t="s">
        <v>305</v>
      </c>
      <c r="S71" s="3" t="s">
        <v>581</v>
      </c>
      <c r="T71" s="2" t="s">
        <v>218</v>
      </c>
      <c r="U71" s="3" t="s">
        <v>582</v>
      </c>
    </row>
    <row r="72" customFormat="false" ht="23.85" hidden="false" customHeight="false" outlineLevel="0" collapsed="false">
      <c r="A72" s="2" t="n">
        <f aca="false">RANK(P72,$P$2:$P$85,0)</f>
        <v>71</v>
      </c>
      <c r="B72" s="3" t="s">
        <v>583</v>
      </c>
      <c r="C72" s="3" t="s">
        <v>584</v>
      </c>
      <c r="D72" s="3" t="s">
        <v>35</v>
      </c>
      <c r="E72" s="3" t="s">
        <v>400</v>
      </c>
      <c r="F72" s="3" t="s">
        <v>88</v>
      </c>
      <c r="G72" s="3" t="s">
        <v>116</v>
      </c>
      <c r="H72" s="3" t="s">
        <v>88</v>
      </c>
      <c r="I72" s="4"/>
      <c r="J72" s="3" t="s">
        <v>62</v>
      </c>
      <c r="K72" s="5" t="n">
        <v>3</v>
      </c>
      <c r="L72" s="5" t="n">
        <v>4</v>
      </c>
      <c r="M72" s="5" t="n">
        <v>6</v>
      </c>
      <c r="N72" s="5" t="n">
        <v>2</v>
      </c>
      <c r="O72" s="5" t="n">
        <v>5</v>
      </c>
      <c r="P72" s="6" t="n">
        <f aca="false">IF(Weights!$B$7=0,0,ROUND((K72*Weights!$B$2+L72*Weights!$B$3+M72*Weights!$B$4+N72*Weights!$B$5+O72*Weights!$B$6)/Weights!$B$7,2))</f>
        <v>4</v>
      </c>
      <c r="Q72" s="7" t="str">
        <f aca="false">IF(P72&gt;=Weights!$B$11,"A",IF(P72&gt;=Weights!$B$12,"B","C"))</f>
        <v>C</v>
      </c>
      <c r="R72" s="3" t="s">
        <v>528</v>
      </c>
      <c r="S72" s="3" t="s">
        <v>585</v>
      </c>
      <c r="T72" s="2" t="s">
        <v>218</v>
      </c>
      <c r="U72" s="3" t="s">
        <v>586</v>
      </c>
    </row>
    <row r="73" customFormat="false" ht="23.85" hidden="false" customHeight="false" outlineLevel="0" collapsed="false">
      <c r="A73" s="2" t="n">
        <f aca="false">RANK(P73,$P$2:$P$85,0)</f>
        <v>72</v>
      </c>
      <c r="B73" s="3" t="s">
        <v>587</v>
      </c>
      <c r="C73" s="3" t="s">
        <v>588</v>
      </c>
      <c r="D73" s="3" t="s">
        <v>35</v>
      </c>
      <c r="E73" s="3" t="s">
        <v>589</v>
      </c>
      <c r="F73" s="3" t="s">
        <v>88</v>
      </c>
      <c r="G73" s="3" t="s">
        <v>590</v>
      </c>
      <c r="H73" s="3" t="s">
        <v>88</v>
      </c>
      <c r="I73" s="4"/>
      <c r="J73" s="3" t="s">
        <v>591</v>
      </c>
      <c r="K73" s="5" t="n">
        <v>4</v>
      </c>
      <c r="L73" s="5" t="n">
        <v>3</v>
      </c>
      <c r="M73" s="5" t="n">
        <v>5</v>
      </c>
      <c r="N73" s="5" t="n">
        <v>4</v>
      </c>
      <c r="O73" s="5" t="n">
        <v>4</v>
      </c>
      <c r="P73" s="6" t="n">
        <f aca="false">IF(Weights!$B$7=0,0,ROUND((K73*Weights!$B$2+L73*Weights!$B$3+M73*Weights!$B$4+N73*Weights!$B$5+O73*Weights!$B$6)/Weights!$B$7,2))</f>
        <v>3.95</v>
      </c>
      <c r="Q73" s="7" t="str">
        <f aca="false">IF(P73&gt;=Weights!$B$11,"A",IF(P73&gt;=Weights!$B$12,"B","C"))</f>
        <v>C</v>
      </c>
      <c r="R73" s="3" t="s">
        <v>592</v>
      </c>
      <c r="S73" s="3" t="s">
        <v>593</v>
      </c>
      <c r="T73" s="2" t="s">
        <v>218</v>
      </c>
      <c r="U73" s="3" t="s">
        <v>594</v>
      </c>
    </row>
    <row r="74" customFormat="false" ht="23.85" hidden="false" customHeight="false" outlineLevel="0" collapsed="false">
      <c r="A74" s="2" t="n">
        <f aca="false">RANK(P74,$P$2:$P$85,0)</f>
        <v>73</v>
      </c>
      <c r="B74" s="3" t="s">
        <v>595</v>
      </c>
      <c r="C74" s="3" t="s">
        <v>596</v>
      </c>
      <c r="D74" s="3" t="s">
        <v>35</v>
      </c>
      <c r="E74" s="3" t="s">
        <v>400</v>
      </c>
      <c r="F74" s="3" t="s">
        <v>597</v>
      </c>
      <c r="G74" s="3" t="s">
        <v>598</v>
      </c>
      <c r="H74" s="3" t="s">
        <v>599</v>
      </c>
      <c r="I74" s="4"/>
      <c r="J74" s="3" t="s">
        <v>62</v>
      </c>
      <c r="K74" s="5" t="n">
        <v>3</v>
      </c>
      <c r="L74" s="5" t="n">
        <v>3</v>
      </c>
      <c r="M74" s="5" t="n">
        <v>3</v>
      </c>
      <c r="N74" s="5" t="n">
        <v>8</v>
      </c>
      <c r="O74" s="5" t="n">
        <v>4</v>
      </c>
      <c r="P74" s="6" t="n">
        <f aca="false">IF(Weights!$B$7=0,0,ROUND((K74*Weights!$B$2+L74*Weights!$B$3+M74*Weights!$B$4+N74*Weights!$B$5+O74*Weights!$B$6)/Weights!$B$7,2))</f>
        <v>3.9</v>
      </c>
      <c r="Q74" s="7" t="str">
        <f aca="false">IF(P74&gt;=Weights!$B$11,"A",IF(P74&gt;=Weights!$B$12,"B","C"))</f>
        <v>C</v>
      </c>
      <c r="R74" s="3" t="s">
        <v>600</v>
      </c>
      <c r="S74" s="3" t="s">
        <v>601</v>
      </c>
      <c r="T74" s="2" t="s">
        <v>31</v>
      </c>
      <c r="U74" s="3" t="s">
        <v>602</v>
      </c>
    </row>
    <row r="75" customFormat="false" ht="35.05" hidden="false" customHeight="false" outlineLevel="0" collapsed="false">
      <c r="A75" s="2" t="n">
        <f aca="false">RANK(P75,$P$2:$P$85,0)</f>
        <v>74</v>
      </c>
      <c r="B75" s="3" t="s">
        <v>603</v>
      </c>
      <c r="C75" s="3" t="s">
        <v>596</v>
      </c>
      <c r="D75" s="3" t="s">
        <v>35</v>
      </c>
      <c r="E75" s="3" t="s">
        <v>400</v>
      </c>
      <c r="F75" s="3" t="s">
        <v>604</v>
      </c>
      <c r="G75" s="3" t="s">
        <v>605</v>
      </c>
      <c r="H75" s="3" t="s">
        <v>88</v>
      </c>
      <c r="I75" s="4"/>
      <c r="J75" s="3" t="s">
        <v>62</v>
      </c>
      <c r="K75" s="5" t="n">
        <v>3</v>
      </c>
      <c r="L75" s="5" t="n">
        <v>3</v>
      </c>
      <c r="M75" s="5" t="n">
        <v>3</v>
      </c>
      <c r="N75" s="5" t="n">
        <v>7</v>
      </c>
      <c r="O75" s="5" t="n">
        <v>4</v>
      </c>
      <c r="P75" s="6" t="n">
        <f aca="false">IF(Weights!$B$7=0,0,ROUND((K75*Weights!$B$2+L75*Weights!$B$3+M75*Weights!$B$4+N75*Weights!$B$5+O75*Weights!$B$6)/Weights!$B$7,2))</f>
        <v>3.75</v>
      </c>
      <c r="Q75" s="7" t="str">
        <f aca="false">IF(P75&gt;=Weights!$B$11,"A",IF(P75&gt;=Weights!$B$12,"B","C"))</f>
        <v>C</v>
      </c>
      <c r="R75" s="3" t="s">
        <v>606</v>
      </c>
      <c r="S75" s="3" t="s">
        <v>607</v>
      </c>
      <c r="T75" s="2" t="s">
        <v>31</v>
      </c>
      <c r="U75" s="3" t="s">
        <v>608</v>
      </c>
    </row>
    <row r="76" customFormat="false" ht="15" hidden="false" customHeight="false" outlineLevel="0" collapsed="false">
      <c r="A76" s="2" t="n">
        <f aca="false">RANK(P76,$P$2:$P$85,0)</f>
        <v>75</v>
      </c>
      <c r="B76" s="3" t="s">
        <v>609</v>
      </c>
      <c r="C76" s="3" t="s">
        <v>141</v>
      </c>
      <c r="D76" s="3" t="s">
        <v>35</v>
      </c>
      <c r="E76" s="3" t="s">
        <v>610</v>
      </c>
      <c r="F76" s="3" t="s">
        <v>611</v>
      </c>
      <c r="G76" s="3" t="s">
        <v>612</v>
      </c>
      <c r="H76" s="3" t="s">
        <v>88</v>
      </c>
      <c r="I76" s="4"/>
      <c r="J76" s="3" t="s">
        <v>62</v>
      </c>
      <c r="K76" s="5" t="n">
        <v>3</v>
      </c>
      <c r="L76" s="5" t="n">
        <v>3</v>
      </c>
      <c r="M76" s="5" t="n">
        <v>5</v>
      </c>
      <c r="N76" s="5" t="n">
        <v>4</v>
      </c>
      <c r="O76" s="5" t="n">
        <v>4</v>
      </c>
      <c r="P76" s="6" t="n">
        <f aca="false">IF(Weights!$B$7=0,0,ROUND((K76*Weights!$B$2+L76*Weights!$B$3+M76*Weights!$B$4+N76*Weights!$B$5+O76*Weights!$B$6)/Weights!$B$7,2))</f>
        <v>3.7</v>
      </c>
      <c r="Q76" s="7" t="str">
        <f aca="false">IF(P76&gt;=Weights!$B$11,"A",IF(P76&gt;=Weights!$B$12,"B","C"))</f>
        <v>C</v>
      </c>
      <c r="R76" s="3" t="s">
        <v>613</v>
      </c>
      <c r="S76" s="3" t="s">
        <v>614</v>
      </c>
      <c r="T76" s="2" t="s">
        <v>218</v>
      </c>
      <c r="U76" s="3" t="s">
        <v>615</v>
      </c>
    </row>
    <row r="77" customFormat="false" ht="23.85" hidden="false" customHeight="false" outlineLevel="0" collapsed="false">
      <c r="A77" s="2" t="n">
        <f aca="false">RANK(P77,$P$2:$P$85,0)</f>
        <v>76</v>
      </c>
      <c r="B77" s="3" t="s">
        <v>616</v>
      </c>
      <c r="C77" s="3" t="s">
        <v>617</v>
      </c>
      <c r="D77" s="3" t="s">
        <v>35</v>
      </c>
      <c r="E77" s="3" t="s">
        <v>618</v>
      </c>
      <c r="F77" s="3" t="s">
        <v>88</v>
      </c>
      <c r="G77" s="3" t="s">
        <v>619</v>
      </c>
      <c r="H77" s="3" t="s">
        <v>88</v>
      </c>
      <c r="I77" s="4"/>
      <c r="J77" s="3" t="s">
        <v>62</v>
      </c>
      <c r="K77" s="5" t="n">
        <v>3</v>
      </c>
      <c r="L77" s="5" t="n">
        <v>3</v>
      </c>
      <c r="M77" s="5" t="n">
        <v>4</v>
      </c>
      <c r="N77" s="5" t="n">
        <v>5</v>
      </c>
      <c r="O77" s="5" t="n">
        <v>4</v>
      </c>
      <c r="P77" s="6" t="n">
        <f aca="false">IF(Weights!$B$7=0,0,ROUND((K77*Weights!$B$2+L77*Weights!$B$3+M77*Weights!$B$4+N77*Weights!$B$5+O77*Weights!$B$6)/Weights!$B$7,2))</f>
        <v>3.65</v>
      </c>
      <c r="Q77" s="7" t="str">
        <f aca="false">IF(P77&gt;=Weights!$B$11,"A",IF(P77&gt;=Weights!$B$12,"B","C"))</f>
        <v>C</v>
      </c>
      <c r="R77" s="3" t="s">
        <v>613</v>
      </c>
      <c r="S77" s="3" t="s">
        <v>620</v>
      </c>
      <c r="T77" s="2" t="s">
        <v>218</v>
      </c>
      <c r="U77" s="3" t="s">
        <v>621</v>
      </c>
    </row>
    <row r="78" customFormat="false" ht="35.05" hidden="false" customHeight="false" outlineLevel="0" collapsed="false">
      <c r="A78" s="2" t="n">
        <f aca="false">RANK(P78,$P$2:$P$85,0)</f>
        <v>77</v>
      </c>
      <c r="B78" s="3" t="s">
        <v>622</v>
      </c>
      <c r="C78" s="3" t="s">
        <v>623</v>
      </c>
      <c r="D78" s="3" t="s">
        <v>35</v>
      </c>
      <c r="E78" s="3" t="s">
        <v>400</v>
      </c>
      <c r="F78" s="3" t="s">
        <v>624</v>
      </c>
      <c r="G78" s="3" t="s">
        <v>116</v>
      </c>
      <c r="H78" s="3" t="s">
        <v>88</v>
      </c>
      <c r="I78" s="4"/>
      <c r="J78" s="3" t="s">
        <v>62</v>
      </c>
      <c r="K78" s="5" t="n">
        <v>3</v>
      </c>
      <c r="L78" s="5" t="n">
        <v>3</v>
      </c>
      <c r="M78" s="5" t="n">
        <v>6</v>
      </c>
      <c r="N78" s="5" t="n">
        <v>2</v>
      </c>
      <c r="O78" s="5" t="n">
        <v>4</v>
      </c>
      <c r="P78" s="6" t="n">
        <f aca="false">IF(Weights!$B$7=0,0,ROUND((K78*Weights!$B$2+L78*Weights!$B$3+M78*Weights!$B$4+N78*Weights!$B$5+O78*Weights!$B$6)/Weights!$B$7,2))</f>
        <v>3.6</v>
      </c>
      <c r="Q78" s="7" t="str">
        <f aca="false">IF(P78&gt;=Weights!$B$11,"A",IF(P78&gt;=Weights!$B$12,"B","C"))</f>
        <v>C</v>
      </c>
      <c r="R78" s="3" t="s">
        <v>574</v>
      </c>
      <c r="S78" s="3" t="s">
        <v>625</v>
      </c>
      <c r="T78" s="2" t="s">
        <v>218</v>
      </c>
      <c r="U78" s="3" t="s">
        <v>626</v>
      </c>
    </row>
    <row r="79" customFormat="false" ht="35.05" hidden="false" customHeight="false" outlineLevel="0" collapsed="false">
      <c r="A79" s="2" t="n">
        <f aca="false">RANK(P79,$P$2:$P$85,0)</f>
        <v>77</v>
      </c>
      <c r="B79" s="3" t="s">
        <v>627</v>
      </c>
      <c r="C79" s="3" t="s">
        <v>628</v>
      </c>
      <c r="D79" s="3" t="s">
        <v>629</v>
      </c>
      <c r="E79" s="3" t="s">
        <v>630</v>
      </c>
      <c r="F79" s="3" t="s">
        <v>88</v>
      </c>
      <c r="G79" s="3" t="s">
        <v>631</v>
      </c>
      <c r="H79" s="3" t="s">
        <v>88</v>
      </c>
      <c r="I79" s="4"/>
      <c r="J79" s="3" t="s">
        <v>62</v>
      </c>
      <c r="K79" s="5" t="n">
        <v>4</v>
      </c>
      <c r="L79" s="5" t="n">
        <v>3</v>
      </c>
      <c r="M79" s="5" t="n">
        <v>4</v>
      </c>
      <c r="N79" s="5" t="n">
        <v>3</v>
      </c>
      <c r="O79" s="5" t="n">
        <v>4</v>
      </c>
      <c r="P79" s="6" t="n">
        <f aca="false">IF(Weights!$B$7=0,0,ROUND((K79*Weights!$B$2+L79*Weights!$B$3+M79*Weights!$B$4+N79*Weights!$B$5+O79*Weights!$B$6)/Weights!$B$7,2))</f>
        <v>3.6</v>
      </c>
      <c r="Q79" s="7" t="str">
        <f aca="false">IF(P79&gt;=Weights!$B$11,"A",IF(P79&gt;=Weights!$B$12,"B","C"))</f>
        <v>C</v>
      </c>
      <c r="R79" s="3" t="s">
        <v>553</v>
      </c>
      <c r="S79" s="3" t="s">
        <v>632</v>
      </c>
      <c r="T79" s="2" t="s">
        <v>218</v>
      </c>
      <c r="U79" s="3" t="s">
        <v>633</v>
      </c>
    </row>
    <row r="80" customFormat="false" ht="23.85" hidden="false" customHeight="false" outlineLevel="0" collapsed="false">
      <c r="A80" s="2" t="n">
        <f aca="false">RANK(P80,$P$2:$P$85,0)</f>
        <v>77</v>
      </c>
      <c r="B80" s="3" t="s">
        <v>634</v>
      </c>
      <c r="C80" s="3" t="s">
        <v>635</v>
      </c>
      <c r="D80" s="3" t="s">
        <v>35</v>
      </c>
      <c r="E80" s="3" t="s">
        <v>400</v>
      </c>
      <c r="F80" s="3" t="s">
        <v>88</v>
      </c>
      <c r="G80" s="3" t="s">
        <v>636</v>
      </c>
      <c r="H80" s="3" t="s">
        <v>88</v>
      </c>
      <c r="I80" s="4"/>
      <c r="J80" s="3" t="s">
        <v>62</v>
      </c>
      <c r="K80" s="5" t="n">
        <v>3</v>
      </c>
      <c r="L80" s="5" t="n">
        <v>3</v>
      </c>
      <c r="M80" s="5" t="n">
        <v>6</v>
      </c>
      <c r="N80" s="5" t="n">
        <v>2</v>
      </c>
      <c r="O80" s="5" t="n">
        <v>4</v>
      </c>
      <c r="P80" s="6" t="n">
        <f aca="false">IF(Weights!$B$7=0,0,ROUND((K80*Weights!$B$2+L80*Weights!$B$3+M80*Weights!$B$4+N80*Weights!$B$5+O80*Weights!$B$6)/Weights!$B$7,2))</f>
        <v>3.6</v>
      </c>
      <c r="Q80" s="7" t="str">
        <f aca="false">IF(P80&gt;=Weights!$B$11,"A",IF(P80&gt;=Weights!$B$12,"B","C"))</f>
        <v>C</v>
      </c>
      <c r="R80" s="3" t="s">
        <v>528</v>
      </c>
      <c r="S80" s="3" t="s">
        <v>637</v>
      </c>
      <c r="T80" s="2" t="s">
        <v>218</v>
      </c>
      <c r="U80" s="3" t="s">
        <v>586</v>
      </c>
    </row>
    <row r="81" customFormat="false" ht="23.85" hidden="false" customHeight="false" outlineLevel="0" collapsed="false">
      <c r="A81" s="2" t="n">
        <f aca="false">RANK(P81,$P$2:$P$85,0)</f>
        <v>80</v>
      </c>
      <c r="B81" s="3" t="s">
        <v>638</v>
      </c>
      <c r="C81" s="3" t="s">
        <v>639</v>
      </c>
      <c r="D81" s="3" t="s">
        <v>35</v>
      </c>
      <c r="E81" s="3" t="s">
        <v>640</v>
      </c>
      <c r="F81" s="3" t="s">
        <v>88</v>
      </c>
      <c r="G81" s="3" t="s">
        <v>641</v>
      </c>
      <c r="H81" s="3" t="s">
        <v>88</v>
      </c>
      <c r="I81" s="4"/>
      <c r="J81" s="3" t="s">
        <v>62</v>
      </c>
      <c r="K81" s="5" t="n">
        <v>3</v>
      </c>
      <c r="L81" s="5" t="n">
        <v>3</v>
      </c>
      <c r="M81" s="5" t="n">
        <v>5</v>
      </c>
      <c r="N81" s="5" t="n">
        <v>3</v>
      </c>
      <c r="O81" s="5" t="n">
        <v>4</v>
      </c>
      <c r="P81" s="6" t="n">
        <f aca="false">IF(Weights!$B$7=0,0,ROUND((K81*Weights!$B$2+L81*Weights!$B$3+M81*Weights!$B$4+N81*Weights!$B$5+O81*Weights!$B$6)/Weights!$B$7,2))</f>
        <v>3.55</v>
      </c>
      <c r="Q81" s="7" t="str">
        <f aca="false">IF(P81&gt;=Weights!$B$11,"A",IF(P81&gt;=Weights!$B$12,"B","C"))</f>
        <v>C</v>
      </c>
      <c r="R81" s="3" t="s">
        <v>305</v>
      </c>
      <c r="S81" s="3" t="s">
        <v>642</v>
      </c>
      <c r="T81" s="2" t="s">
        <v>218</v>
      </c>
      <c r="U81" s="3" t="s">
        <v>643</v>
      </c>
    </row>
    <row r="82" customFormat="false" ht="15" hidden="false" customHeight="false" outlineLevel="0" collapsed="false">
      <c r="A82" s="2" t="n">
        <f aca="false">RANK(P82,$P$2:$P$85,0)</f>
        <v>80</v>
      </c>
      <c r="B82" s="3" t="s">
        <v>644</v>
      </c>
      <c r="C82" s="3" t="s">
        <v>645</v>
      </c>
      <c r="D82" s="3" t="s">
        <v>35</v>
      </c>
      <c r="E82" s="3" t="s">
        <v>447</v>
      </c>
      <c r="F82" s="3" t="s">
        <v>88</v>
      </c>
      <c r="G82" s="3" t="s">
        <v>410</v>
      </c>
      <c r="H82" s="3" t="s">
        <v>88</v>
      </c>
      <c r="I82" s="4"/>
      <c r="J82" s="3" t="s">
        <v>62</v>
      </c>
      <c r="K82" s="5" t="n">
        <v>3</v>
      </c>
      <c r="L82" s="5" t="n">
        <v>3</v>
      </c>
      <c r="M82" s="5" t="n">
        <v>5</v>
      </c>
      <c r="N82" s="5" t="n">
        <v>3</v>
      </c>
      <c r="O82" s="5" t="n">
        <v>4</v>
      </c>
      <c r="P82" s="6" t="n">
        <f aca="false">IF(Weights!$B$7=0,0,ROUND((K82*Weights!$B$2+L82*Weights!$B$3+M82*Weights!$B$4+N82*Weights!$B$5+O82*Weights!$B$6)/Weights!$B$7,2))</f>
        <v>3.55</v>
      </c>
      <c r="Q82" s="7" t="str">
        <f aca="false">IF(P82&gt;=Weights!$B$11,"A",IF(P82&gt;=Weights!$B$12,"B","C"))</f>
        <v>C</v>
      </c>
      <c r="R82" s="3" t="s">
        <v>305</v>
      </c>
      <c r="S82" s="3" t="s">
        <v>646</v>
      </c>
      <c r="T82" s="2" t="s">
        <v>218</v>
      </c>
      <c r="U82" s="3" t="s">
        <v>647</v>
      </c>
    </row>
    <row r="83" customFormat="false" ht="35.05" hidden="false" customHeight="false" outlineLevel="0" collapsed="false">
      <c r="A83" s="2" t="n">
        <f aca="false">RANK(P83,$P$2:$P$85,0)</f>
        <v>82</v>
      </c>
      <c r="B83" s="3" t="s">
        <v>648</v>
      </c>
      <c r="C83" s="3" t="s">
        <v>649</v>
      </c>
      <c r="D83" s="3" t="s">
        <v>550</v>
      </c>
      <c r="E83" s="3" t="s">
        <v>650</v>
      </c>
      <c r="F83" s="3" t="s">
        <v>88</v>
      </c>
      <c r="G83" s="3" t="s">
        <v>651</v>
      </c>
      <c r="H83" s="3" t="s">
        <v>88</v>
      </c>
      <c r="I83" s="4"/>
      <c r="J83" s="3" t="s">
        <v>62</v>
      </c>
      <c r="K83" s="5" t="n">
        <v>4</v>
      </c>
      <c r="L83" s="5" t="n">
        <v>3</v>
      </c>
      <c r="M83" s="5" t="n">
        <v>4</v>
      </c>
      <c r="N83" s="5" t="n">
        <v>2</v>
      </c>
      <c r="O83" s="5" t="n">
        <v>4</v>
      </c>
      <c r="P83" s="6" t="n">
        <f aca="false">IF(Weights!$B$7=0,0,ROUND((K83*Weights!$B$2+L83*Weights!$B$3+M83*Weights!$B$4+N83*Weights!$B$5+O83*Weights!$B$6)/Weights!$B$7,2))</f>
        <v>3.45</v>
      </c>
      <c r="Q83" s="7" t="str">
        <f aca="false">IF(P83&gt;=Weights!$B$11,"A",IF(P83&gt;=Weights!$B$12,"B","C"))</f>
        <v>C</v>
      </c>
      <c r="R83" s="3" t="s">
        <v>652</v>
      </c>
      <c r="S83" s="3" t="s">
        <v>653</v>
      </c>
      <c r="T83" s="2" t="s">
        <v>218</v>
      </c>
      <c r="U83" s="3" t="s">
        <v>654</v>
      </c>
    </row>
    <row r="84" customFormat="false" ht="23.85" hidden="false" customHeight="false" outlineLevel="0" collapsed="false">
      <c r="A84" s="2" t="n">
        <f aca="false">RANK(P84,$P$2:$P$85,0)</f>
        <v>83</v>
      </c>
      <c r="B84" s="3" t="s">
        <v>655</v>
      </c>
      <c r="C84" s="3" t="s">
        <v>656</v>
      </c>
      <c r="D84" s="3" t="s">
        <v>35</v>
      </c>
      <c r="E84" s="3" t="s">
        <v>657</v>
      </c>
      <c r="F84" s="3" t="s">
        <v>658</v>
      </c>
      <c r="G84" s="3" t="s">
        <v>659</v>
      </c>
      <c r="H84" s="3" t="s">
        <v>660</v>
      </c>
      <c r="I84" s="4" t="n">
        <v>3545</v>
      </c>
      <c r="J84" s="3" t="s">
        <v>661</v>
      </c>
      <c r="K84" s="5" t="n">
        <v>3</v>
      </c>
      <c r="L84" s="5" t="n">
        <v>2</v>
      </c>
      <c r="M84" s="5" t="n">
        <v>2</v>
      </c>
      <c r="N84" s="5" t="n">
        <v>8</v>
      </c>
      <c r="O84" s="5" t="n">
        <v>3</v>
      </c>
      <c r="P84" s="6" t="n">
        <f aca="false">IF(Weights!$B$7=0,0,ROUND((K84*Weights!$B$2+L84*Weights!$B$3+M84*Weights!$B$4+N84*Weights!$B$5+O84*Weights!$B$6)/Weights!$B$7,2))</f>
        <v>3.3</v>
      </c>
      <c r="Q84" s="7" t="str">
        <f aca="false">IF(P84&gt;=Weights!$B$11,"A",IF(P84&gt;=Weights!$B$12,"B","C"))</f>
        <v>C</v>
      </c>
      <c r="R84" s="3" t="s">
        <v>662</v>
      </c>
      <c r="S84" s="3" t="s">
        <v>663</v>
      </c>
      <c r="T84" s="2" t="s">
        <v>43</v>
      </c>
      <c r="U84" s="3" t="s">
        <v>664</v>
      </c>
    </row>
    <row r="85" customFormat="false" ht="23.85" hidden="false" customHeight="false" outlineLevel="0" collapsed="false">
      <c r="A85" s="2" t="n">
        <f aca="false">RANK(P85,$P$2:$P$85,0)</f>
        <v>84</v>
      </c>
      <c r="B85" s="3" t="s">
        <v>665</v>
      </c>
      <c r="C85" s="3" t="s">
        <v>666</v>
      </c>
      <c r="D85" s="3" t="s">
        <v>35</v>
      </c>
      <c r="E85" s="3" t="s">
        <v>400</v>
      </c>
      <c r="F85" s="3" t="s">
        <v>88</v>
      </c>
      <c r="G85" s="3" t="s">
        <v>596</v>
      </c>
      <c r="H85" s="3" t="s">
        <v>88</v>
      </c>
      <c r="I85" s="4"/>
      <c r="J85" s="3" t="s">
        <v>62</v>
      </c>
      <c r="K85" s="5" t="n">
        <v>3</v>
      </c>
      <c r="L85" s="5" t="n">
        <v>2</v>
      </c>
      <c r="M85" s="5" t="n">
        <v>3</v>
      </c>
      <c r="N85" s="5" t="n">
        <v>4</v>
      </c>
      <c r="O85" s="5" t="n">
        <v>3</v>
      </c>
      <c r="P85" s="6" t="n">
        <f aca="false">IF(Weights!$B$7=0,0,ROUND((K85*Weights!$B$2+L85*Weights!$B$3+M85*Weights!$B$4+N85*Weights!$B$5+O85*Weights!$B$6)/Weights!$B$7,2))</f>
        <v>2.9</v>
      </c>
      <c r="Q85" s="7" t="str">
        <f aca="false">IF(P85&gt;=Weights!$B$11,"A",IF(P85&gt;=Weights!$B$12,"B","C"))</f>
        <v>C</v>
      </c>
      <c r="R85" s="3" t="s">
        <v>667</v>
      </c>
      <c r="S85" s="3" t="s">
        <v>668</v>
      </c>
      <c r="T85" s="2" t="s">
        <v>218</v>
      </c>
      <c r="U85" s="3" t="s">
        <v>669</v>
      </c>
    </row>
  </sheetData>
  <autoFilter ref="A1:U85"/>
  <conditionalFormatting sqref="P2:P85">
    <cfRule type="colorScale" priority="2">
      <colorScale>
        <cfvo type="min" val="0"/>
        <cfvo type="percentile" val="50"/>
        <cfvo type="max" val="0"/>
        <color rgb="FFF8696B"/>
        <color rgb="FFFFEB84"/>
        <color rgb="FF63BE7B"/>
      </colorScale>
    </cfRule>
  </conditionalFormatting>
  <conditionalFormatting sqref="Q2:Q85">
    <cfRule type="expression" priority="3" aboveAverage="0" equalAverage="0" bottom="0" percent="0" rank="0" text="" dxfId="57">
      <formula>$Q2="A"</formula>
    </cfRule>
    <cfRule type="expression" priority="4" aboveAverage="0" equalAverage="0" bottom="0" percent="0" rank="0" text="" dxfId="58">
      <formula>$Q2="B"</formula>
    </cfRule>
    <cfRule type="expression" priority="5" aboveAverage="0" equalAverage="0" bottom="0" percent="0" rank="0" text="" dxfId="59">
      <formula>$Q2="C"</formula>
    </cfRule>
  </conditionalFormatting>
  <dataValidations count="1">
    <dataValidation allowBlank="false" error="Scores must be whole numbers from 1 to 10" errorStyle="stop" errorTitle="Score" operator="between" showDropDown="false" showErrorMessage="true" showInputMessage="false" sqref="K2:O85" type="whole">
      <formula1>1</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80"/>
  </cols>
  <sheetData>
    <row r="1" customFormat="false" ht="15" hidden="false" customHeight="false" outlineLevel="0" collapsed="false">
      <c r="A1" s="8" t="s">
        <v>670</v>
      </c>
      <c r="B1" s="8" t="s">
        <v>671</v>
      </c>
      <c r="C1" s="8" t="s">
        <v>672</v>
      </c>
    </row>
    <row r="2" customFormat="false" ht="15" hidden="false" customHeight="false" outlineLevel="0" collapsed="false">
      <c r="A2" s="9" t="s">
        <v>673</v>
      </c>
      <c r="B2" s="10" t="n">
        <v>0.25</v>
      </c>
      <c r="C2" s="11" t="s">
        <v>674</v>
      </c>
    </row>
    <row r="3" customFormat="false" ht="15" hidden="false" customHeight="false" outlineLevel="0" collapsed="false">
      <c r="A3" s="9" t="s">
        <v>675</v>
      </c>
      <c r="B3" s="10" t="n">
        <v>0.25</v>
      </c>
      <c r="C3" s="11" t="s">
        <v>676</v>
      </c>
    </row>
    <row r="4" customFormat="false" ht="15" hidden="false" customHeight="false" outlineLevel="0" collapsed="false">
      <c r="A4" s="9" t="s">
        <v>677</v>
      </c>
      <c r="B4" s="10" t="n">
        <v>0.2</v>
      </c>
      <c r="C4" s="11" t="s">
        <v>678</v>
      </c>
    </row>
    <row r="5" customFormat="false" ht="15" hidden="false" customHeight="false" outlineLevel="0" collapsed="false">
      <c r="A5" s="9" t="s">
        <v>679</v>
      </c>
      <c r="B5" s="10" t="n">
        <v>0.15</v>
      </c>
      <c r="C5" s="11" t="s">
        <v>680</v>
      </c>
    </row>
    <row r="6" customFormat="false" ht="15" hidden="false" customHeight="false" outlineLevel="0" collapsed="false">
      <c r="A6" s="9" t="s">
        <v>681</v>
      </c>
      <c r="B6" s="10" t="n">
        <v>0.15</v>
      </c>
      <c r="C6" s="11" t="s">
        <v>682</v>
      </c>
    </row>
    <row r="7" customFormat="false" ht="15" hidden="false" customHeight="false" outlineLevel="0" collapsed="false">
      <c r="A7" s="12" t="s">
        <v>683</v>
      </c>
      <c r="B7" s="13" t="n">
        <f aca="false">SUM(B2:B6)</f>
        <v>1</v>
      </c>
      <c r="C7" s="14" t="s">
        <v>684</v>
      </c>
    </row>
    <row r="8" customFormat="false" ht="15" hidden="false" customHeight="false" outlineLevel="0" collapsed="false">
      <c r="A8" s="12" t="s">
        <v>685</v>
      </c>
      <c r="B8" s="12" t="str">
        <f aca="false">IF(ABS(B7-1)&lt;0.00001,"OK","CHECK")</f>
        <v>OK</v>
      </c>
      <c r="C8" s="14" t="str">
        <f aca="false">IF(ABS(B7-1)&lt;0.00001,"OK: weights sum to 100%","Weights sum to "&amp;TEXT(B7,"0.0%")&amp;"; adjust them to total 100%")</f>
        <v>OK: weights sum to 100%</v>
      </c>
    </row>
    <row r="9" customFormat="false" ht="15" hidden="false" customHeight="false" outlineLevel="0" collapsed="false">
      <c r="A9" s="15"/>
      <c r="B9" s="15"/>
      <c r="C9" s="14"/>
    </row>
    <row r="10" customFormat="false" ht="15" hidden="false" customHeight="false" outlineLevel="0" collapsed="false">
      <c r="A10" s="16" t="s">
        <v>686</v>
      </c>
      <c r="B10" s="15"/>
      <c r="C10" s="14"/>
    </row>
    <row r="11" customFormat="false" ht="15" hidden="false" customHeight="false" outlineLevel="0" collapsed="false">
      <c r="A11" s="15" t="s">
        <v>687</v>
      </c>
      <c r="B11" s="17" t="n">
        <v>6.5</v>
      </c>
      <c r="C11" s="14" t="s">
        <v>688</v>
      </c>
    </row>
    <row r="12" customFormat="false" ht="15" hidden="false" customHeight="false" outlineLevel="0" collapsed="false">
      <c r="A12" s="15" t="s">
        <v>689</v>
      </c>
      <c r="B12" s="17" t="n">
        <v>5</v>
      </c>
      <c r="C12" s="14" t="s">
        <v>690</v>
      </c>
    </row>
    <row r="13" customFormat="false" ht="15" hidden="false" customHeight="false" outlineLevel="0" collapsed="false">
      <c r="A13" s="15"/>
      <c r="B13" s="15"/>
      <c r="C13" s="14"/>
    </row>
    <row r="14" customFormat="false" ht="15" hidden="false" customHeight="false" outlineLevel="0" collapsed="false">
      <c r="A14" s="16" t="s">
        <v>691</v>
      </c>
      <c r="B14" s="15"/>
      <c r="C14" s="14"/>
    </row>
    <row r="15" customFormat="false" ht="60" hidden="false" customHeight="true" outlineLevel="0" collapsed="false">
      <c r="A15" s="18" t="s">
        <v>692</v>
      </c>
      <c r="B15" s="18"/>
      <c r="C15" s="18"/>
    </row>
    <row r="16" customFormat="false" ht="15" hidden="false" customHeight="true" outlineLevel="0" collapsed="false">
      <c r="A16" s="18" t="s">
        <v>693</v>
      </c>
      <c r="B16" s="18"/>
      <c r="C16" s="18"/>
    </row>
  </sheetData>
  <mergeCells count="2">
    <mergeCell ref="A15:C15"/>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8"/>
    <col collapsed="false" customWidth="true" hidden="false" outlineLevel="0" max="3" min="3" style="0" width="24"/>
    <col collapsed="false" customWidth="true" hidden="false" outlineLevel="0" max="4" min="4" style="0" width="80"/>
    <col collapsed="false" customWidth="true" hidden="false" outlineLevel="0" max="5" min="5" style="0" width="50"/>
  </cols>
  <sheetData>
    <row r="1" customFormat="false" ht="15" hidden="false" customHeight="false" outlineLevel="0" collapsed="false">
      <c r="A1" s="8" t="s">
        <v>694</v>
      </c>
      <c r="B1" s="8" t="s">
        <v>2</v>
      </c>
      <c r="C1" s="8" t="s">
        <v>695</v>
      </c>
      <c r="D1" s="8" t="s">
        <v>696</v>
      </c>
      <c r="E1" s="8" t="s">
        <v>697</v>
      </c>
    </row>
    <row r="2" customFormat="false" ht="35.05" hidden="false" customHeight="false" outlineLevel="0" collapsed="false">
      <c r="A2" s="3" t="s">
        <v>698</v>
      </c>
      <c r="B2" s="3" t="s">
        <v>282</v>
      </c>
      <c r="C2" s="3" t="s">
        <v>699</v>
      </c>
      <c r="D2" s="3" t="s">
        <v>700</v>
      </c>
      <c r="E2" s="3" t="s">
        <v>701</v>
      </c>
    </row>
    <row r="3" customFormat="false" ht="23.85" hidden="false" customHeight="false" outlineLevel="0" collapsed="false">
      <c r="A3" s="3" t="s">
        <v>702</v>
      </c>
      <c r="B3" s="3" t="s">
        <v>703</v>
      </c>
      <c r="C3" s="3" t="s">
        <v>704</v>
      </c>
      <c r="D3" s="3" t="s">
        <v>705</v>
      </c>
      <c r="E3" s="3" t="s">
        <v>706</v>
      </c>
    </row>
    <row r="4" customFormat="false" ht="23.85" hidden="false" customHeight="false" outlineLevel="0" collapsed="false">
      <c r="A4" s="3" t="s">
        <v>707</v>
      </c>
      <c r="B4" s="3" t="s">
        <v>708</v>
      </c>
      <c r="C4" s="3" t="s">
        <v>699</v>
      </c>
      <c r="D4" s="3" t="s">
        <v>709</v>
      </c>
      <c r="E4" s="3" t="s">
        <v>710</v>
      </c>
    </row>
    <row r="5" customFormat="false" ht="35.05" hidden="false" customHeight="false" outlineLevel="0" collapsed="false">
      <c r="A5" s="3" t="s">
        <v>711</v>
      </c>
      <c r="B5" s="3" t="s">
        <v>712</v>
      </c>
      <c r="C5" s="3" t="s">
        <v>713</v>
      </c>
      <c r="D5" s="3" t="s">
        <v>714</v>
      </c>
      <c r="E5" s="3" t="s">
        <v>715</v>
      </c>
    </row>
    <row r="6" customFormat="false" ht="23.85" hidden="false" customHeight="false" outlineLevel="0" collapsed="false">
      <c r="A6" s="3" t="s">
        <v>716</v>
      </c>
      <c r="B6" s="3" t="s">
        <v>717</v>
      </c>
      <c r="C6" s="3" t="s">
        <v>718</v>
      </c>
      <c r="D6" s="3" t="s">
        <v>719</v>
      </c>
      <c r="E6" s="3" t="s">
        <v>720</v>
      </c>
    </row>
    <row r="7" customFormat="false" ht="23.85" hidden="false" customHeight="false" outlineLevel="0" collapsed="false">
      <c r="A7" s="3" t="s">
        <v>721</v>
      </c>
      <c r="B7" s="3" t="s">
        <v>722</v>
      </c>
      <c r="C7" s="3" t="s">
        <v>718</v>
      </c>
      <c r="D7" s="3" t="s">
        <v>723</v>
      </c>
      <c r="E7" s="3" t="s">
        <v>720</v>
      </c>
    </row>
    <row r="8" customFormat="false" ht="35.05" hidden="false" customHeight="false" outlineLevel="0" collapsed="false">
      <c r="A8" s="3" t="s">
        <v>724</v>
      </c>
      <c r="B8" s="3" t="s">
        <v>725</v>
      </c>
      <c r="C8" s="3" t="s">
        <v>718</v>
      </c>
      <c r="D8" s="3" t="s">
        <v>726</v>
      </c>
      <c r="E8" s="3" t="s">
        <v>727</v>
      </c>
    </row>
    <row r="9" customFormat="false" ht="23.85" hidden="false" customHeight="false" outlineLevel="0" collapsed="false">
      <c r="A9" s="3" t="s">
        <v>728</v>
      </c>
      <c r="B9" s="3" t="s">
        <v>729</v>
      </c>
      <c r="C9" s="3" t="s">
        <v>718</v>
      </c>
      <c r="D9" s="3" t="s">
        <v>730</v>
      </c>
      <c r="E9" s="3" t="s">
        <v>731</v>
      </c>
    </row>
    <row r="10" customFormat="false" ht="15" hidden="false" customHeight="false" outlineLevel="0" collapsed="false">
      <c r="A10" s="3" t="s">
        <v>732</v>
      </c>
      <c r="B10" s="3" t="s">
        <v>729</v>
      </c>
      <c r="C10" s="3" t="s">
        <v>733</v>
      </c>
      <c r="D10" s="3" t="s">
        <v>734</v>
      </c>
      <c r="E10" s="3" t="s">
        <v>735</v>
      </c>
    </row>
    <row r="11" customFormat="false" ht="15" hidden="false" customHeight="false" outlineLevel="0" collapsed="false">
      <c r="A11" s="3" t="s">
        <v>736</v>
      </c>
      <c r="B11" s="3" t="s">
        <v>737</v>
      </c>
      <c r="C11" s="3" t="s">
        <v>738</v>
      </c>
      <c r="D11" s="3" t="s">
        <v>739</v>
      </c>
      <c r="E11" s="3" t="s">
        <v>740</v>
      </c>
    </row>
    <row r="12" customFormat="false" ht="23.85" hidden="false" customHeight="false" outlineLevel="0" collapsed="false">
      <c r="A12" s="3" t="s">
        <v>741</v>
      </c>
      <c r="B12" s="3" t="s">
        <v>742</v>
      </c>
      <c r="C12" s="3" t="s">
        <v>699</v>
      </c>
      <c r="D12" s="3" t="s">
        <v>743</v>
      </c>
      <c r="E12" s="3" t="s">
        <v>744</v>
      </c>
    </row>
    <row r="13" customFormat="false" ht="23.85" hidden="false" customHeight="false" outlineLevel="0" collapsed="false">
      <c r="A13" s="3" t="s">
        <v>745</v>
      </c>
      <c r="B13" s="3" t="s">
        <v>746</v>
      </c>
      <c r="C13" s="3" t="s">
        <v>733</v>
      </c>
      <c r="D13" s="3" t="s">
        <v>747</v>
      </c>
      <c r="E13" s="3" t="s">
        <v>748</v>
      </c>
    </row>
    <row r="14" customFormat="false" ht="23.85" hidden="false" customHeight="false" outlineLevel="0" collapsed="false">
      <c r="A14" s="3" t="s">
        <v>749</v>
      </c>
      <c r="B14" s="3" t="s">
        <v>750</v>
      </c>
      <c r="C14" s="3" t="s">
        <v>751</v>
      </c>
      <c r="D14" s="3" t="s">
        <v>752</v>
      </c>
      <c r="E14" s="3" t="s">
        <v>753</v>
      </c>
    </row>
    <row r="15" customFormat="false" ht="15" hidden="false" customHeight="false" outlineLevel="0" collapsed="false">
      <c r="A15" s="3" t="s">
        <v>754</v>
      </c>
      <c r="B15" s="3" t="s">
        <v>755</v>
      </c>
      <c r="C15" s="3" t="s">
        <v>756</v>
      </c>
      <c r="D15" s="3" t="s">
        <v>757</v>
      </c>
      <c r="E15" s="3" t="s">
        <v>758</v>
      </c>
    </row>
    <row r="16" customFormat="false" ht="35.05" hidden="false" customHeight="false" outlineLevel="0" collapsed="false">
      <c r="A16" s="3" t="s">
        <v>759</v>
      </c>
      <c r="B16" s="3" t="s">
        <v>760</v>
      </c>
      <c r="C16" s="3" t="s">
        <v>761</v>
      </c>
      <c r="D16" s="3" t="s">
        <v>762</v>
      </c>
      <c r="E16" s="3" t="s">
        <v>763</v>
      </c>
    </row>
    <row r="17" customFormat="false" ht="15" hidden="false" customHeight="false" outlineLevel="0" collapsed="false">
      <c r="A17" s="3" t="s">
        <v>764</v>
      </c>
      <c r="B17" s="3" t="s">
        <v>765</v>
      </c>
      <c r="C17" s="3" t="s">
        <v>766</v>
      </c>
      <c r="D17" s="3" t="s">
        <v>767</v>
      </c>
      <c r="E17" s="3" t="s">
        <v>768</v>
      </c>
    </row>
    <row r="18" customFormat="false" ht="23.85" hidden="false" customHeight="false" outlineLevel="0" collapsed="false">
      <c r="A18" s="3" t="s">
        <v>769</v>
      </c>
      <c r="B18" s="3" t="s">
        <v>770</v>
      </c>
      <c r="C18" s="3" t="s">
        <v>771</v>
      </c>
      <c r="D18" s="3" t="s">
        <v>772</v>
      </c>
      <c r="E18" s="3" t="s">
        <v>773</v>
      </c>
    </row>
    <row r="19" customFormat="false" ht="35.05" hidden="false" customHeight="false" outlineLevel="0" collapsed="false">
      <c r="A19" s="3" t="s">
        <v>774</v>
      </c>
      <c r="B19" s="3" t="s">
        <v>775</v>
      </c>
      <c r="C19" s="3" t="s">
        <v>771</v>
      </c>
      <c r="D19" s="3" t="s">
        <v>776</v>
      </c>
      <c r="E19" s="3" t="s">
        <v>777</v>
      </c>
    </row>
    <row r="20" customFormat="false" ht="35.05" hidden="false" customHeight="false" outlineLevel="0" collapsed="false">
      <c r="A20" s="3" t="s">
        <v>778</v>
      </c>
      <c r="B20" s="3" t="s">
        <v>779</v>
      </c>
      <c r="C20" s="3" t="s">
        <v>780</v>
      </c>
      <c r="D20" s="3" t="s">
        <v>781</v>
      </c>
      <c r="E20" s="3" t="s">
        <v>782</v>
      </c>
    </row>
    <row r="21" customFormat="false" ht="23.85" hidden="false" customHeight="false" outlineLevel="0" collapsed="false">
      <c r="A21" s="3" t="s">
        <v>783</v>
      </c>
      <c r="B21" s="3" t="s">
        <v>784</v>
      </c>
      <c r="C21" s="3" t="s">
        <v>733</v>
      </c>
      <c r="D21" s="3" t="s">
        <v>785</v>
      </c>
      <c r="E21" s="3" t="s">
        <v>786</v>
      </c>
    </row>
    <row r="22" customFormat="false" ht="15" hidden="false" customHeight="false" outlineLevel="0" collapsed="false">
      <c r="A22" s="3" t="s">
        <v>787</v>
      </c>
      <c r="B22" s="3" t="s">
        <v>788</v>
      </c>
      <c r="C22" s="3" t="s">
        <v>751</v>
      </c>
      <c r="D22" s="3" t="s">
        <v>789</v>
      </c>
      <c r="E22" s="3" t="s">
        <v>790</v>
      </c>
    </row>
    <row r="23" customFormat="false" ht="35.05" hidden="false" customHeight="false" outlineLevel="0" collapsed="false">
      <c r="A23" s="3" t="s">
        <v>791</v>
      </c>
      <c r="B23" s="3" t="s">
        <v>792</v>
      </c>
      <c r="C23" s="3" t="s">
        <v>756</v>
      </c>
      <c r="D23" s="3" t="s">
        <v>793</v>
      </c>
      <c r="E23" s="3" t="s">
        <v>794</v>
      </c>
    </row>
    <row r="24" customFormat="false" ht="15" hidden="false" customHeight="false" outlineLevel="0" collapsed="false">
      <c r="A24" s="3" t="s">
        <v>795</v>
      </c>
      <c r="B24" s="3" t="s">
        <v>796</v>
      </c>
      <c r="C24" s="3" t="s">
        <v>771</v>
      </c>
      <c r="D24" s="3" t="s">
        <v>797</v>
      </c>
      <c r="E24" s="3" t="s">
        <v>798</v>
      </c>
    </row>
    <row r="25" customFormat="false" ht="15" hidden="false" customHeight="false" outlineLevel="0" collapsed="false">
      <c r="A25" s="3" t="s">
        <v>799</v>
      </c>
      <c r="B25" s="3" t="s">
        <v>796</v>
      </c>
      <c r="C25" s="3" t="s">
        <v>771</v>
      </c>
      <c r="D25" s="3" t="s">
        <v>800</v>
      </c>
      <c r="E25" s="3" t="s">
        <v>801</v>
      </c>
    </row>
    <row r="26" customFormat="false" ht="23.85" hidden="false" customHeight="false" outlineLevel="0" collapsed="false">
      <c r="A26" s="3" t="s">
        <v>802</v>
      </c>
      <c r="B26" s="3" t="s">
        <v>796</v>
      </c>
      <c r="C26" s="3" t="s">
        <v>771</v>
      </c>
      <c r="D26" s="3" t="s">
        <v>803</v>
      </c>
      <c r="E26" s="3" t="s">
        <v>804</v>
      </c>
    </row>
    <row r="27" customFormat="false" ht="15" hidden="false" customHeight="false" outlineLevel="0" collapsed="false">
      <c r="A27" s="3" t="s">
        <v>805</v>
      </c>
      <c r="B27" s="3" t="s">
        <v>796</v>
      </c>
      <c r="C27" s="3" t="s">
        <v>771</v>
      </c>
      <c r="D27" s="3" t="s">
        <v>806</v>
      </c>
      <c r="E27" s="3" t="s">
        <v>807</v>
      </c>
    </row>
    <row r="28" customFormat="false" ht="15" hidden="false" customHeight="false" outlineLevel="0" collapsed="false">
      <c r="A28" s="3" t="s">
        <v>808</v>
      </c>
      <c r="B28" s="3" t="s">
        <v>809</v>
      </c>
      <c r="C28" s="3" t="s">
        <v>88</v>
      </c>
      <c r="D28" s="3" t="s">
        <v>810</v>
      </c>
      <c r="E28" s="3" t="s">
        <v>811</v>
      </c>
    </row>
    <row r="29" customFormat="false" ht="15" hidden="false" customHeight="false" outlineLevel="0" collapsed="false">
      <c r="A29" s="3" t="s">
        <v>812</v>
      </c>
      <c r="B29" s="3" t="s">
        <v>813</v>
      </c>
      <c r="C29" s="3" t="s">
        <v>771</v>
      </c>
      <c r="D29" s="3" t="s">
        <v>814</v>
      </c>
      <c r="E29" s="3" t="s">
        <v>807</v>
      </c>
    </row>
    <row r="30" customFormat="false" ht="35.05" hidden="false" customHeight="false" outlineLevel="0" collapsed="false">
      <c r="A30" s="3" t="s">
        <v>815</v>
      </c>
      <c r="B30" s="3" t="s">
        <v>813</v>
      </c>
      <c r="C30" s="3" t="s">
        <v>771</v>
      </c>
      <c r="D30" s="3" t="s">
        <v>816</v>
      </c>
      <c r="E30" s="3" t="s">
        <v>817</v>
      </c>
    </row>
    <row r="31" customFormat="false" ht="23.85" hidden="false" customHeight="false" outlineLevel="0" collapsed="false">
      <c r="A31" s="3" t="s">
        <v>818</v>
      </c>
      <c r="B31" s="3" t="s">
        <v>819</v>
      </c>
      <c r="C31" s="3" t="s">
        <v>771</v>
      </c>
      <c r="D31" s="3" t="s">
        <v>820</v>
      </c>
      <c r="E31" s="3" t="s">
        <v>821</v>
      </c>
    </row>
    <row r="32" customFormat="false" ht="35.05" hidden="false" customHeight="false" outlineLevel="0" collapsed="false">
      <c r="A32" s="3" t="s">
        <v>822</v>
      </c>
      <c r="B32" s="3" t="s">
        <v>823</v>
      </c>
      <c r="C32" s="3" t="s">
        <v>771</v>
      </c>
      <c r="D32" s="3" t="s">
        <v>824</v>
      </c>
      <c r="E32" s="3" t="s">
        <v>825</v>
      </c>
    </row>
    <row r="33" customFormat="false" ht="23.85" hidden="false" customHeight="false" outlineLevel="0" collapsed="false">
      <c r="A33" s="3" t="s">
        <v>826</v>
      </c>
      <c r="B33" s="3" t="s">
        <v>823</v>
      </c>
      <c r="C33" s="3" t="s">
        <v>771</v>
      </c>
      <c r="D33" s="3" t="s">
        <v>827</v>
      </c>
      <c r="E33" s="3" t="s">
        <v>828</v>
      </c>
    </row>
    <row r="34" customFormat="false" ht="23.85" hidden="false" customHeight="false" outlineLevel="0" collapsed="false">
      <c r="A34" s="3" t="s">
        <v>829</v>
      </c>
      <c r="B34" s="3" t="s">
        <v>830</v>
      </c>
      <c r="C34" s="3" t="s">
        <v>831</v>
      </c>
      <c r="D34" s="3" t="s">
        <v>832</v>
      </c>
      <c r="E34" s="3" t="s">
        <v>833</v>
      </c>
    </row>
    <row r="35" customFormat="false" ht="15" hidden="false" customHeight="false" outlineLevel="0" collapsed="false">
      <c r="A35" s="3" t="s">
        <v>834</v>
      </c>
      <c r="B35" s="3" t="s">
        <v>835</v>
      </c>
      <c r="C35" s="3" t="s">
        <v>836</v>
      </c>
      <c r="D35" s="3" t="s">
        <v>837</v>
      </c>
      <c r="E35" s="3" t="s">
        <v>807</v>
      </c>
    </row>
    <row r="36" customFormat="false" ht="15" hidden="false" customHeight="false" outlineLevel="0" collapsed="false">
      <c r="A36" s="3" t="s">
        <v>838</v>
      </c>
      <c r="B36" s="3" t="s">
        <v>839</v>
      </c>
      <c r="C36" s="3" t="s">
        <v>840</v>
      </c>
      <c r="D36" s="3" t="s">
        <v>841</v>
      </c>
      <c r="E36" s="3" t="s">
        <v>842</v>
      </c>
    </row>
    <row r="37" customFormat="false" ht="15" hidden="false" customHeight="false" outlineLevel="0" collapsed="false">
      <c r="A37" s="3" t="s">
        <v>843</v>
      </c>
      <c r="B37" s="3" t="s">
        <v>844</v>
      </c>
      <c r="C37" s="3" t="s">
        <v>733</v>
      </c>
      <c r="D37" s="3" t="s">
        <v>845</v>
      </c>
      <c r="E37" s="3" t="s">
        <v>807</v>
      </c>
    </row>
    <row r="38" customFormat="false" ht="23.85" hidden="false" customHeight="false" outlineLevel="0" collapsed="false">
      <c r="A38" s="3" t="s">
        <v>846</v>
      </c>
      <c r="B38" s="3" t="s">
        <v>847</v>
      </c>
      <c r="C38" s="3" t="s">
        <v>733</v>
      </c>
      <c r="D38" s="3" t="s">
        <v>848</v>
      </c>
      <c r="E38" s="3" t="s">
        <v>849</v>
      </c>
    </row>
    <row r="39" customFormat="false" ht="15" hidden="false" customHeight="false" outlineLevel="0" collapsed="false">
      <c r="A39" s="3" t="s">
        <v>850</v>
      </c>
      <c r="B39" s="3" t="s">
        <v>851</v>
      </c>
      <c r="C39" s="3" t="s">
        <v>733</v>
      </c>
      <c r="D39" s="3" t="s">
        <v>852</v>
      </c>
      <c r="E39" s="3" t="s">
        <v>807</v>
      </c>
    </row>
    <row r="40" customFormat="false" ht="23.85" hidden="false" customHeight="false" outlineLevel="0" collapsed="false">
      <c r="A40" s="3" t="s">
        <v>853</v>
      </c>
      <c r="B40" s="3" t="s">
        <v>854</v>
      </c>
      <c r="C40" s="3" t="s">
        <v>771</v>
      </c>
      <c r="D40" s="3" t="s">
        <v>855</v>
      </c>
      <c r="E40" s="3" t="s">
        <v>856</v>
      </c>
    </row>
    <row r="41" customFormat="false" ht="23.85" hidden="false" customHeight="false" outlineLevel="0" collapsed="false">
      <c r="A41" s="3" t="s">
        <v>857</v>
      </c>
      <c r="B41" s="3" t="s">
        <v>105</v>
      </c>
      <c r="C41" s="3" t="s">
        <v>858</v>
      </c>
      <c r="D41" s="3" t="s">
        <v>859</v>
      </c>
      <c r="E41" s="3" t="s">
        <v>860</v>
      </c>
    </row>
    <row r="42" customFormat="false" ht="23.85" hidden="false" customHeight="false" outlineLevel="0" collapsed="false">
      <c r="A42" s="3" t="s">
        <v>861</v>
      </c>
      <c r="B42" s="3" t="s">
        <v>862</v>
      </c>
      <c r="C42" s="3" t="s">
        <v>88</v>
      </c>
      <c r="D42" s="3" t="s">
        <v>863</v>
      </c>
      <c r="E42" s="3" t="s">
        <v>807</v>
      </c>
    </row>
    <row r="43" customFormat="false" ht="15" hidden="false" customHeight="false" outlineLevel="0" collapsed="false">
      <c r="A43" s="3" t="s">
        <v>864</v>
      </c>
      <c r="B43" s="3" t="s">
        <v>865</v>
      </c>
      <c r="C43" s="3" t="s">
        <v>733</v>
      </c>
      <c r="D43" s="3" t="s">
        <v>866</v>
      </c>
      <c r="E43" s="3" t="s">
        <v>807</v>
      </c>
    </row>
    <row r="44" customFormat="false" ht="23.85" hidden="false" customHeight="false" outlineLevel="0" collapsed="false">
      <c r="A44" s="3" t="s">
        <v>867</v>
      </c>
      <c r="B44" s="3" t="s">
        <v>868</v>
      </c>
      <c r="C44" s="3" t="s">
        <v>869</v>
      </c>
      <c r="D44" s="3" t="s">
        <v>870</v>
      </c>
      <c r="E44" s="3" t="s">
        <v>871</v>
      </c>
    </row>
    <row r="45" customFormat="false" ht="23.85" hidden="false" customHeight="false" outlineLevel="0" collapsed="false">
      <c r="A45" s="3" t="s">
        <v>872</v>
      </c>
      <c r="B45" s="3" t="s">
        <v>873</v>
      </c>
      <c r="C45" s="3" t="s">
        <v>756</v>
      </c>
      <c r="D45" s="3" t="s">
        <v>874</v>
      </c>
      <c r="E45" s="3" t="s">
        <v>875</v>
      </c>
    </row>
    <row r="46" customFormat="false" ht="23.85" hidden="false" customHeight="false" outlineLevel="0" collapsed="false">
      <c r="A46" s="3" t="s">
        <v>876</v>
      </c>
      <c r="B46" s="3" t="s">
        <v>877</v>
      </c>
      <c r="C46" s="3" t="s">
        <v>878</v>
      </c>
      <c r="D46" s="3" t="s">
        <v>879</v>
      </c>
      <c r="E46" s="3" t="s">
        <v>807</v>
      </c>
    </row>
    <row r="47" customFormat="false" ht="35.05" hidden="false" customHeight="false" outlineLevel="0" collapsed="false">
      <c r="A47" s="3" t="s">
        <v>880</v>
      </c>
      <c r="B47" s="3" t="s">
        <v>881</v>
      </c>
      <c r="C47" s="3" t="s">
        <v>882</v>
      </c>
      <c r="D47" s="3" t="s">
        <v>883</v>
      </c>
      <c r="E47" s="3" t="s">
        <v>884</v>
      </c>
    </row>
    <row r="48" customFormat="false" ht="23.85" hidden="false" customHeight="false" outlineLevel="0" collapsed="false">
      <c r="A48" s="3" t="s">
        <v>885</v>
      </c>
      <c r="B48" s="3" t="s">
        <v>886</v>
      </c>
      <c r="C48" s="3" t="s">
        <v>887</v>
      </c>
      <c r="D48" s="3" t="s">
        <v>888</v>
      </c>
      <c r="E48" s="3" t="s">
        <v>889</v>
      </c>
    </row>
    <row r="49" customFormat="false" ht="15" hidden="false" customHeight="false" outlineLevel="0" collapsed="false">
      <c r="A49" s="3" t="s">
        <v>890</v>
      </c>
      <c r="B49" s="3" t="s">
        <v>891</v>
      </c>
      <c r="C49" s="3" t="s">
        <v>733</v>
      </c>
      <c r="D49" s="3" t="s">
        <v>892</v>
      </c>
      <c r="E49" s="3" t="s">
        <v>893</v>
      </c>
    </row>
    <row r="50" customFormat="false" ht="23.85" hidden="false" customHeight="false" outlineLevel="0" collapsed="false">
      <c r="A50" s="3" t="s">
        <v>894</v>
      </c>
      <c r="B50" s="3" t="s">
        <v>895</v>
      </c>
      <c r="C50" s="3" t="s">
        <v>896</v>
      </c>
      <c r="D50" s="3" t="s">
        <v>897</v>
      </c>
      <c r="E50" s="3" t="s">
        <v>898</v>
      </c>
    </row>
    <row r="51" customFormat="false" ht="23.85" hidden="false" customHeight="false" outlineLevel="0" collapsed="false">
      <c r="A51" s="3" t="s">
        <v>899</v>
      </c>
      <c r="B51" s="3" t="s">
        <v>900</v>
      </c>
      <c r="C51" s="3" t="s">
        <v>771</v>
      </c>
      <c r="D51" s="3" t="s">
        <v>901</v>
      </c>
      <c r="E51" s="3" t="s">
        <v>902</v>
      </c>
    </row>
    <row r="52" customFormat="false" ht="23.85" hidden="false" customHeight="false" outlineLevel="0" collapsed="false">
      <c r="A52" s="3" t="s">
        <v>903</v>
      </c>
      <c r="B52" s="3" t="s">
        <v>904</v>
      </c>
      <c r="C52" s="3" t="s">
        <v>905</v>
      </c>
      <c r="D52" s="3" t="s">
        <v>906</v>
      </c>
      <c r="E52" s="3" t="s">
        <v>720</v>
      </c>
    </row>
  </sheetData>
  <autoFilter ref="A1:E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30"/>
  </cols>
  <sheetData>
    <row r="1" customFormat="false" ht="15" hidden="false" customHeight="false" outlineLevel="0" collapsed="false">
      <c r="A1" s="8" t="s">
        <v>907</v>
      </c>
      <c r="B1" s="8" t="s">
        <v>908</v>
      </c>
    </row>
    <row r="2" customFormat="false" ht="35.05" hidden="false" customHeight="false" outlineLevel="0" collapsed="false">
      <c r="A2" s="19" t="s">
        <v>909</v>
      </c>
      <c r="B2" s="11" t="s">
        <v>910</v>
      </c>
    </row>
    <row r="3" customFormat="false" ht="23.85" hidden="false" customHeight="false" outlineLevel="0" collapsed="false">
      <c r="A3" s="19" t="s">
        <v>911</v>
      </c>
      <c r="B3" s="11" t="s">
        <v>912</v>
      </c>
    </row>
    <row r="4" customFormat="false" ht="23.85" hidden="false" customHeight="false" outlineLevel="0" collapsed="false">
      <c r="A4" s="19" t="s">
        <v>15</v>
      </c>
      <c r="B4" s="11" t="s">
        <v>913</v>
      </c>
    </row>
    <row r="5" customFormat="false" ht="68.65" hidden="false" customHeight="false" outlineLevel="0" collapsed="false">
      <c r="A5" s="19" t="s">
        <v>10</v>
      </c>
      <c r="B5" s="11" t="s">
        <v>914</v>
      </c>
    </row>
    <row r="6" customFormat="false" ht="46.25" hidden="false" customHeight="false" outlineLevel="0" collapsed="false">
      <c r="A6" s="19" t="s">
        <v>11</v>
      </c>
      <c r="B6" s="11" t="s">
        <v>915</v>
      </c>
    </row>
    <row r="7" customFormat="false" ht="46.25" hidden="false" customHeight="false" outlineLevel="0" collapsed="false">
      <c r="A7" s="19" t="s">
        <v>12</v>
      </c>
      <c r="B7" s="11" t="s">
        <v>916</v>
      </c>
    </row>
    <row r="8" customFormat="false" ht="46.25" hidden="false" customHeight="false" outlineLevel="0" collapsed="false">
      <c r="A8" s="19" t="s">
        <v>13</v>
      </c>
      <c r="B8" s="11" t="s">
        <v>917</v>
      </c>
    </row>
    <row r="9" customFormat="false" ht="35.05" hidden="false" customHeight="false" outlineLevel="0" collapsed="false">
      <c r="A9" s="19" t="s">
        <v>14</v>
      </c>
      <c r="B9" s="11" t="s">
        <v>918</v>
      </c>
    </row>
    <row r="10" customFormat="false" ht="23.85" hidden="false" customHeight="false" outlineLevel="0" collapsed="false">
      <c r="A10" s="19" t="s">
        <v>19</v>
      </c>
      <c r="B10" s="11" t="s">
        <v>919</v>
      </c>
    </row>
    <row r="11" customFormat="false" ht="35.05" hidden="false" customHeight="false" outlineLevel="0" collapsed="false">
      <c r="A11" s="19" t="s">
        <v>920</v>
      </c>
      <c r="B11" s="11" t="s">
        <v>921</v>
      </c>
    </row>
    <row r="12" customFormat="false" ht="46.25" hidden="false" customHeight="false" outlineLevel="0" collapsed="false">
      <c r="A12" s="19" t="s">
        <v>922</v>
      </c>
      <c r="B12" s="11" t="s">
        <v>923</v>
      </c>
    </row>
    <row r="13" customFormat="false" ht="23.85" hidden="false" customHeight="false" outlineLevel="0" collapsed="false">
      <c r="A13" s="19" t="s">
        <v>924</v>
      </c>
      <c r="B13" s="11" t="s">
        <v>925</v>
      </c>
    </row>
    <row r="14" customFormat="false" ht="23.85" hidden="false" customHeight="false" outlineLevel="0" collapsed="false">
      <c r="A14" s="19" t="s">
        <v>926</v>
      </c>
      <c r="B14" s="11" t="s">
        <v>927</v>
      </c>
    </row>
    <row r="15" customFormat="false" ht="23.85" hidden="false" customHeight="false" outlineLevel="0" collapsed="false">
      <c r="A15" s="19" t="s">
        <v>928</v>
      </c>
      <c r="B15" s="11" t="s">
        <v>929</v>
      </c>
    </row>
    <row r="16" customFormat="false" ht="23.85" hidden="false" customHeight="false" outlineLevel="0" collapsed="false">
      <c r="A16" s="19" t="s">
        <v>930</v>
      </c>
      <c r="B16" s="11" t="s">
        <v>931</v>
      </c>
    </row>
    <row r="17" customFormat="false" ht="46.25" hidden="false" customHeight="false" outlineLevel="0" collapsed="false">
      <c r="A17" s="19" t="s">
        <v>932</v>
      </c>
      <c r="B17" s="11" t="s">
        <v>933</v>
      </c>
    </row>
    <row r="18" customFormat="false" ht="23.85" hidden="false" customHeight="false" outlineLevel="0" collapsed="false">
      <c r="A18" s="19" t="s">
        <v>934</v>
      </c>
      <c r="B18" s="11" t="s">
        <v>935</v>
      </c>
    </row>
    <row r="19" customFormat="false" ht="23.85" hidden="false" customHeight="false" outlineLevel="0" collapsed="false">
      <c r="A19" s="19" t="s">
        <v>936</v>
      </c>
      <c r="B19" s="11" t="s">
        <v>937</v>
      </c>
    </row>
    <row r="20" customFormat="false" ht="23.85" hidden="false" customHeight="false" outlineLevel="0" collapsed="false">
      <c r="A20" s="19" t="s">
        <v>938</v>
      </c>
      <c r="B20" s="11" t="s">
        <v>939</v>
      </c>
    </row>
    <row r="21" customFormat="false" ht="15" hidden="false" customHeight="false" outlineLevel="0" collapsed="false">
      <c r="A21" s="19" t="s">
        <v>940</v>
      </c>
      <c r="B21" s="11" t="s">
        <v>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2"/>
    <col collapsed="false" customWidth="true" hidden="false" outlineLevel="0" max="3" min="3" style="0" width="60"/>
    <col collapsed="false" customWidth="true" hidden="false" outlineLevel="0" max="4" min="4" style="0" width="42"/>
    <col collapsed="false" customWidth="true" hidden="false" outlineLevel="0" max="5" min="5" style="0" width="45"/>
    <col collapsed="false" customWidth="true" hidden="false" outlineLevel="0" max="6" min="6" style="0" width="50"/>
  </cols>
  <sheetData>
    <row r="1" customFormat="false" ht="15" hidden="false" customHeight="false" outlineLevel="0" collapsed="false">
      <c r="A1" s="8" t="s">
        <v>942</v>
      </c>
      <c r="B1" s="8" t="s">
        <v>943</v>
      </c>
      <c r="C1" s="8" t="s">
        <v>944</v>
      </c>
      <c r="D1" s="8" t="s">
        <v>945</v>
      </c>
      <c r="E1" s="8" t="s">
        <v>946</v>
      </c>
      <c r="F1" s="8" t="s">
        <v>697</v>
      </c>
    </row>
    <row r="2" customFormat="false" ht="35.05" hidden="false" customHeight="false" outlineLevel="0" collapsed="false">
      <c r="A2" s="3" t="s">
        <v>947</v>
      </c>
      <c r="B2" s="3" t="s">
        <v>948</v>
      </c>
      <c r="C2" s="3" t="s">
        <v>949</v>
      </c>
      <c r="D2" s="3" t="s">
        <v>950</v>
      </c>
      <c r="E2" s="3" t="s">
        <v>951</v>
      </c>
      <c r="F2" s="3" t="s">
        <v>952</v>
      </c>
    </row>
    <row r="3" customFormat="false" ht="35.05" hidden="false" customHeight="false" outlineLevel="0" collapsed="false">
      <c r="A3" s="3" t="s">
        <v>953</v>
      </c>
      <c r="B3" s="3" t="s">
        <v>954</v>
      </c>
      <c r="C3" s="3" t="s">
        <v>955</v>
      </c>
      <c r="D3" s="3" t="s">
        <v>956</v>
      </c>
      <c r="E3" s="3" t="s">
        <v>957</v>
      </c>
      <c r="F3" s="3" t="s">
        <v>958</v>
      </c>
    </row>
    <row r="4" customFormat="false" ht="35.05" hidden="false" customHeight="false" outlineLevel="0" collapsed="false">
      <c r="A4" s="3" t="s">
        <v>959</v>
      </c>
      <c r="B4" s="3" t="s">
        <v>960</v>
      </c>
      <c r="C4" s="3" t="s">
        <v>961</v>
      </c>
      <c r="D4" s="3" t="s">
        <v>962</v>
      </c>
      <c r="E4" s="3" t="s">
        <v>963</v>
      </c>
      <c r="F4" s="3" t="s">
        <v>964</v>
      </c>
    </row>
    <row r="5" customFormat="false" ht="35.05" hidden="false" customHeight="false" outlineLevel="0" collapsed="false">
      <c r="A5" s="3" t="s">
        <v>965</v>
      </c>
      <c r="B5" s="3" t="s">
        <v>966</v>
      </c>
      <c r="C5" s="3" t="s">
        <v>967</v>
      </c>
      <c r="D5" s="3" t="s">
        <v>968</v>
      </c>
      <c r="E5" s="3" t="s">
        <v>969</v>
      </c>
      <c r="F5" s="3" t="s">
        <v>180</v>
      </c>
    </row>
    <row r="6" customFormat="false" ht="35.05" hidden="false" customHeight="false" outlineLevel="0" collapsed="false">
      <c r="A6" s="3" t="s">
        <v>970</v>
      </c>
      <c r="B6" s="3" t="s">
        <v>971</v>
      </c>
      <c r="C6" s="3" t="s">
        <v>972</v>
      </c>
      <c r="D6" s="3" t="s">
        <v>973</v>
      </c>
      <c r="E6" s="3" t="s">
        <v>974</v>
      </c>
      <c r="F6" s="3" t="s">
        <v>289</v>
      </c>
    </row>
    <row r="7" customFormat="false" ht="35.05" hidden="false" customHeight="false" outlineLevel="0" collapsed="false">
      <c r="A7" s="3" t="s">
        <v>975</v>
      </c>
      <c r="B7" s="3" t="s">
        <v>971</v>
      </c>
      <c r="C7" s="3" t="s">
        <v>976</v>
      </c>
      <c r="D7" s="3" t="s">
        <v>977</v>
      </c>
      <c r="E7" s="3" t="s">
        <v>978</v>
      </c>
      <c r="F7" s="3" t="s">
        <v>189</v>
      </c>
    </row>
    <row r="8" customFormat="false" ht="35.05" hidden="false" customHeight="false" outlineLevel="0" collapsed="false">
      <c r="A8" s="3" t="s">
        <v>979</v>
      </c>
      <c r="B8" s="3" t="s">
        <v>980</v>
      </c>
      <c r="C8" s="3" t="s">
        <v>981</v>
      </c>
      <c r="D8" s="3" t="s">
        <v>982</v>
      </c>
      <c r="E8" s="3" t="s">
        <v>983</v>
      </c>
      <c r="F8" s="3" t="s">
        <v>984</v>
      </c>
    </row>
    <row r="9" customFormat="false" ht="23.85" hidden="false" customHeight="false" outlineLevel="0" collapsed="false">
      <c r="A9" s="3" t="s">
        <v>985</v>
      </c>
      <c r="B9" s="3" t="s">
        <v>986</v>
      </c>
      <c r="C9" s="3" t="s">
        <v>987</v>
      </c>
      <c r="D9" s="3" t="s">
        <v>988</v>
      </c>
      <c r="E9" s="3" t="s">
        <v>989</v>
      </c>
      <c r="F9" s="3" t="s">
        <v>112</v>
      </c>
    </row>
    <row r="10" customFormat="false" ht="35.05" hidden="false" customHeight="false" outlineLevel="0" collapsed="false">
      <c r="A10" s="3" t="s">
        <v>990</v>
      </c>
      <c r="B10" s="3" t="s">
        <v>991</v>
      </c>
      <c r="C10" s="3" t="s">
        <v>992</v>
      </c>
      <c r="D10" s="3" t="s">
        <v>993</v>
      </c>
      <c r="E10" s="3" t="s">
        <v>994</v>
      </c>
      <c r="F10" s="3" t="s">
        <v>995</v>
      </c>
    </row>
    <row r="11" customFormat="false" ht="23.85" hidden="false" customHeight="false" outlineLevel="0" collapsed="false">
      <c r="A11" s="3" t="s">
        <v>996</v>
      </c>
      <c r="B11" s="3" t="s">
        <v>997</v>
      </c>
      <c r="C11" s="3" t="s">
        <v>998</v>
      </c>
      <c r="D11" s="3" t="s">
        <v>999</v>
      </c>
      <c r="E11" s="3" t="s">
        <v>1000</v>
      </c>
      <c r="F11" s="3" t="s">
        <v>902</v>
      </c>
    </row>
    <row r="12" customFormat="false" ht="35.05" hidden="false" customHeight="false" outlineLevel="0" collapsed="false">
      <c r="A12" s="3" t="s">
        <v>1001</v>
      </c>
      <c r="B12" s="3" t="s">
        <v>1002</v>
      </c>
      <c r="C12" s="3" t="s">
        <v>1003</v>
      </c>
      <c r="D12" s="3" t="s">
        <v>1004</v>
      </c>
      <c r="E12" s="3" t="s">
        <v>1005</v>
      </c>
      <c r="F12" s="3" t="s">
        <v>1006</v>
      </c>
    </row>
    <row r="13" customFormat="false" ht="35.05" hidden="false" customHeight="false" outlineLevel="0" collapsed="false">
      <c r="A13" s="3" t="s">
        <v>1007</v>
      </c>
      <c r="B13" s="3" t="s">
        <v>1008</v>
      </c>
      <c r="C13" s="3" t="s">
        <v>1009</v>
      </c>
      <c r="D13" s="3" t="s">
        <v>1010</v>
      </c>
      <c r="E13" s="3" t="s">
        <v>1011</v>
      </c>
      <c r="F13" s="3" t="s">
        <v>1012</v>
      </c>
    </row>
    <row r="14" customFormat="false" ht="23.85" hidden="false" customHeight="false" outlineLevel="0" collapsed="false">
      <c r="A14" s="3" t="s">
        <v>1013</v>
      </c>
      <c r="B14" s="3" t="s">
        <v>1014</v>
      </c>
      <c r="C14" s="3" t="s">
        <v>1015</v>
      </c>
      <c r="D14" s="3" t="s">
        <v>1016</v>
      </c>
      <c r="E14" s="3" t="s">
        <v>1017</v>
      </c>
      <c r="F14" s="3" t="s">
        <v>1018</v>
      </c>
    </row>
    <row r="15" customFormat="false" ht="35.05" hidden="false" customHeight="false" outlineLevel="0" collapsed="false">
      <c r="A15" s="3" t="s">
        <v>1019</v>
      </c>
      <c r="B15" s="3" t="s">
        <v>1020</v>
      </c>
      <c r="C15" s="3" t="s">
        <v>1021</v>
      </c>
      <c r="D15" s="3" t="s">
        <v>1022</v>
      </c>
      <c r="E15" s="3" t="s">
        <v>1023</v>
      </c>
      <c r="F15" s="3" t="s">
        <v>1024</v>
      </c>
    </row>
    <row r="16" customFormat="false" ht="46.25" hidden="false" customHeight="false" outlineLevel="0" collapsed="false">
      <c r="A16" s="3" t="s">
        <v>1025</v>
      </c>
      <c r="B16" s="3" t="s">
        <v>1026</v>
      </c>
      <c r="C16" s="3" t="s">
        <v>1027</v>
      </c>
      <c r="D16" s="3" t="s">
        <v>1028</v>
      </c>
      <c r="E16" s="3" t="s">
        <v>1029</v>
      </c>
      <c r="F16" s="3" t="s">
        <v>1030</v>
      </c>
    </row>
    <row r="17" customFormat="false" ht="35.05" hidden="false" customHeight="false" outlineLevel="0" collapsed="false">
      <c r="A17" s="3" t="s">
        <v>1031</v>
      </c>
      <c r="B17" s="3" t="s">
        <v>1008</v>
      </c>
      <c r="C17" s="3" t="s">
        <v>1032</v>
      </c>
      <c r="D17" s="3" t="s">
        <v>1033</v>
      </c>
      <c r="E17" s="3" t="s">
        <v>1034</v>
      </c>
      <c r="F17" s="3" t="s">
        <v>1035</v>
      </c>
    </row>
    <row r="18" customFormat="false" ht="35.05" hidden="false" customHeight="false" outlineLevel="0" collapsed="false">
      <c r="A18" s="3" t="s">
        <v>1036</v>
      </c>
      <c r="B18" s="3" t="s">
        <v>1008</v>
      </c>
      <c r="C18" s="3" t="s">
        <v>1037</v>
      </c>
      <c r="D18" s="3" t="s">
        <v>1038</v>
      </c>
      <c r="E18" s="3" t="s">
        <v>1039</v>
      </c>
      <c r="F18" s="3" t="s">
        <v>1040</v>
      </c>
    </row>
    <row r="19" customFormat="false" ht="35.05" hidden="false" customHeight="false" outlineLevel="0" collapsed="false">
      <c r="A19" s="3" t="s">
        <v>1041</v>
      </c>
      <c r="B19" s="3" t="s">
        <v>1042</v>
      </c>
      <c r="C19" s="3" t="s">
        <v>1043</v>
      </c>
      <c r="D19" s="3" t="s">
        <v>62</v>
      </c>
      <c r="E19" s="3" t="s">
        <v>1044</v>
      </c>
      <c r="F19" s="3" t="s">
        <v>1045</v>
      </c>
    </row>
    <row r="20" customFormat="false" ht="57.45" hidden="false" customHeight="false" outlineLevel="0" collapsed="false">
      <c r="A20" s="3" t="s">
        <v>1046</v>
      </c>
      <c r="B20" s="3" t="s">
        <v>1047</v>
      </c>
      <c r="C20" s="3" t="s">
        <v>1048</v>
      </c>
      <c r="D20" s="3" t="s">
        <v>62</v>
      </c>
      <c r="E20" s="3" t="s">
        <v>1049</v>
      </c>
      <c r="F20" s="3" t="s">
        <v>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2026-10-09T21:01:42Z</dcterms:created>
  <dc:creator>openpyxl</dc:creator>
  <dc:description/>
  <dc:language>en-US</dc:language>
  <cp:lastModifiedBy/>
  <dcterms:modified xsi:type="dcterms:W3CDTF">2026-10-09T21:01:42Z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